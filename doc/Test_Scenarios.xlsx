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UI 시나리오" sheetId="2" state="visible" r:id="rId2"/>
    <sheet name="전체 테스트 결과" sheetId="3" state="visible" r:id="rId3"/>
    <sheet name="발견된 결함" sheetId="4" state="visible" r:id="rId4"/>
  </sheets>
  <definedNames>
    <definedName name="_xlnm._FilterDatabase" localSheetId="1" hidden="1">'UI 시나리오'!$A$1:$J$132</definedName>
    <definedName name="_xlnm._FilterDatabase" localSheetId="2" hidden="1">'전체 테스트 결과'!$A$1:$H$301</definedName>
    <definedName name="_xlnm._FilterDatabase" localSheetId="3" hidden="1">'발견된 결함'!$A$1:$F$22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  <font>
      <name val="Arial"/>
      <b val="1"/>
      <sz val="14"/>
    </font>
    <font>
      <name val="Arial"/>
      <b val="1"/>
      <color rgb="000061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C5D2"/>
      </left>
      <right style="thin">
        <color rgb="00BFC5D2"/>
      </right>
      <top style="thin">
        <color rgb="00BFC5D2"/>
      </top>
      <bottom style="thin">
        <color rgb="00BFC5D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9C57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AGC Simulation 테스트 요약</t>
        </is>
      </c>
    </row>
    <row r="2">
      <c r="A2" s="2" t="inlineStr">
        <is>
          <t>생성: 2026-10-19  |  출처: dotnet test (MSTest) 결과 TRX  |  갱신: python tools/make_test_report.py</t>
        </is>
      </c>
    </row>
    <row r="3">
      <c r="A3" s="3" t="inlineStr">
        <is>
          <t>실행 시점 결과: 전체 300개 중 통과 300개, 실패/건너뜀 0개 (아래 수치는 수식이며 Excel에서 열 때 계산된다)</t>
        </is>
      </c>
    </row>
    <row r="4">
      <c r="A4" s="4" t="inlineStr">
        <is>
          <t>전체 테스트 수</t>
        </is>
      </c>
      <c r="B4" s="5">
        <f>COUNTA('전체 테스트 결과'!$E$2:$E$301)</f>
        <v/>
      </c>
    </row>
    <row r="5">
      <c r="A5" s="4" t="inlineStr">
        <is>
          <t>통과</t>
        </is>
      </c>
      <c r="B5" s="5">
        <f>COUNTIF('전체 테스트 결과'!$G$2:$G$301,"통과")</f>
        <v/>
      </c>
    </row>
    <row r="6">
      <c r="A6" s="4" t="inlineStr">
        <is>
          <t>실패</t>
        </is>
      </c>
      <c r="B6" s="5">
        <f>COUNTIF('전체 테스트 결과'!$G$2:$G$301,"실패")</f>
        <v/>
      </c>
    </row>
    <row r="7">
      <c r="A7" s="4" t="inlineStr">
        <is>
          <t>통과율</t>
        </is>
      </c>
      <c r="B7" s="6">
        <f>IF(B4=0,0,B5/B4)</f>
        <v/>
      </c>
    </row>
    <row r="8">
      <c r="A8" s="4" t="inlineStr">
        <is>
          <t>UI 시나리오 수</t>
        </is>
      </c>
      <c r="B8" s="5">
        <f>COUNTA('UI 시나리오'!$A$2:$A$132)</f>
        <v/>
      </c>
    </row>
    <row r="9">
      <c r="A9" s="4" t="inlineStr">
        <is>
          <t>UI 시나리오 통과</t>
        </is>
      </c>
      <c r="B9" s="5">
        <f>COUNTIF('UI 시나리오'!$I$2:$I$132,"통과")</f>
        <v/>
      </c>
    </row>
    <row r="11">
      <c r="A11" s="7" t="inlineStr">
        <is>
          <t>영역</t>
        </is>
      </c>
      <c r="B11" s="7" t="inlineStr">
        <is>
          <t>기능</t>
        </is>
      </c>
      <c r="C11" s="7" t="inlineStr">
        <is>
          <t>테스트 수</t>
        </is>
      </c>
      <c r="D11" s="7" t="inlineStr">
        <is>
          <t>통과</t>
        </is>
      </c>
      <c r="E11" s="7" t="inlineStr">
        <is>
          <t>실패</t>
        </is>
      </c>
    </row>
    <row r="12">
      <c r="A12" s="8" t="inlineStr">
        <is>
          <t>단위/연동</t>
        </is>
      </c>
      <c r="B12" s="8" t="inlineStr">
        <is>
          <t>로깅</t>
        </is>
      </c>
      <c r="C12" s="8">
        <f>COUNTIFS('전체 테스트 결과'!$C$2:$C$301,$B12)</f>
        <v/>
      </c>
      <c r="D12" s="8">
        <f>COUNTIFS('전체 테스트 결과'!$C$2:$C$301,$B12,'전체 테스트 결과'!$G$2:$G$301,"통과")</f>
        <v/>
      </c>
      <c r="E12" s="8">
        <f>COUNTIFS('전체 테스트 결과'!$C$2:$C$301,$B12,'전체 테스트 결과'!$G$2:$G$301,"실패")</f>
        <v/>
      </c>
    </row>
    <row r="13">
      <c r="A13" s="9" t="inlineStr">
        <is>
          <t>단위/연동</t>
        </is>
      </c>
      <c r="B13" s="9" t="inlineStr">
        <is>
          <t>DSKY Noun 표시 형식</t>
        </is>
      </c>
      <c r="C13" s="9">
        <f>COUNTIFS('전체 테스트 결과'!$C$2:$C$301,$B13)</f>
        <v/>
      </c>
      <c r="D13" s="9">
        <f>COUNTIFS('전체 테스트 결과'!$C$2:$C$301,$B13,'전체 테스트 결과'!$G$2:$G$301,"통과")</f>
        <v/>
      </c>
      <c r="E13" s="9">
        <f>COUNTIFS('전체 테스트 결과'!$C$2:$C$301,$B13,'전체 테스트 결과'!$G$2:$G$301,"실패")</f>
        <v/>
      </c>
    </row>
    <row r="14">
      <c r="A14" s="8" t="inlineStr">
        <is>
          <t>단위/연동</t>
        </is>
      </c>
      <c r="B14" s="8" t="inlineStr">
        <is>
          <t>DSKY 키 입력 상태기계</t>
        </is>
      </c>
      <c r="C14" s="8">
        <f>COUNTIFS('전체 테스트 결과'!$C$2:$C$301,$B14)</f>
        <v/>
      </c>
      <c r="D14" s="8">
        <f>COUNTIFS('전체 테스트 결과'!$C$2:$C$301,$B14,'전체 테스트 결과'!$G$2:$G$301,"통과")</f>
        <v/>
      </c>
      <c r="E14" s="8">
        <f>COUNTIFS('전체 테스트 결과'!$C$2:$C$301,$B14,'전체 테스트 결과'!$G$2:$G$301,"실패")</f>
        <v/>
      </c>
    </row>
    <row r="15">
      <c r="A15" s="9" t="inlineStr">
        <is>
          <t>단위/연동</t>
        </is>
      </c>
      <c r="B15" s="9" t="inlineStr">
        <is>
          <t>DSKY 명령 실행</t>
        </is>
      </c>
      <c r="C15" s="9">
        <f>COUNTIFS('전체 테스트 결과'!$C$2:$C$301,$B15)</f>
        <v/>
      </c>
      <c r="D15" s="9">
        <f>COUNTIFS('전체 테스트 결과'!$C$2:$C$301,$B15,'전체 테스트 결과'!$G$2:$G$301,"통과")</f>
        <v/>
      </c>
      <c r="E15" s="9">
        <f>COUNTIFS('전체 테스트 결과'!$C$2:$C$301,$B15,'전체 테스트 결과'!$G$2:$G$301,"실패")</f>
        <v/>
      </c>
    </row>
    <row r="16">
      <c r="A16" s="8" t="inlineStr">
        <is>
          <t>단위/연동</t>
        </is>
      </c>
      <c r="B16" s="8" t="inlineStr">
        <is>
          <t>DSKY 데이터 로드(V21~V25)</t>
        </is>
      </c>
      <c r="C16" s="8">
        <f>COUNTIFS('전체 테스트 결과'!$C$2:$C$301,$B16)</f>
        <v/>
      </c>
      <c r="D16" s="8">
        <f>COUNTIFS('전체 테스트 결과'!$C$2:$C$301,$B16,'전체 테스트 결과'!$G$2:$G$301,"통과")</f>
        <v/>
      </c>
      <c r="E16" s="8">
        <f>COUNTIFS('전체 테스트 결과'!$C$2:$C$301,$B16,'전체 테스트 결과'!$G$2:$G$301,"실패")</f>
        <v/>
      </c>
    </row>
    <row r="17">
      <c r="A17" s="9" t="inlineStr">
        <is>
          <t>단위/연동</t>
        </is>
      </c>
      <c r="B17" s="9" t="inlineStr">
        <is>
          <t>V37 · 표시 요청 · KEY REL</t>
        </is>
      </c>
      <c r="C17" s="9">
        <f>COUNTIFS('전체 테스트 결과'!$C$2:$C$301,$B17)</f>
        <v/>
      </c>
      <c r="D17" s="9">
        <f>COUNTIFS('전체 테스트 결과'!$C$2:$C$301,$B17,'전체 테스트 결과'!$G$2:$G$301,"통과")</f>
        <v/>
      </c>
      <c r="E17" s="9">
        <f>COUNTIFS('전체 테스트 결과'!$C$2:$C$301,$B17,'전체 테스트 결과'!$G$2:$G$301,"실패")</f>
        <v/>
      </c>
    </row>
    <row r="18">
      <c r="A18" s="8" t="inlineStr">
        <is>
          <t>단위/연동</t>
        </is>
      </c>
      <c r="B18" s="8" t="inlineStr">
        <is>
          <t>미션 타임라인</t>
        </is>
      </c>
      <c r="C18" s="8">
        <f>COUNTIFS('전체 테스트 결과'!$C$2:$C$301,$B18)</f>
        <v/>
      </c>
      <c r="D18" s="8">
        <f>COUNTIFS('전체 테스트 결과'!$C$2:$C$301,$B18,'전체 테스트 결과'!$G$2:$G$301,"통과")</f>
        <v/>
      </c>
      <c r="E18" s="8">
        <f>COUNTIFS('전체 테스트 결과'!$C$2:$C$301,$B18,'전체 테스트 결과'!$G$2:$G$301,"실패")</f>
        <v/>
      </c>
    </row>
    <row r="19">
      <c r="A19" s="9" t="inlineStr">
        <is>
          <t>단위/연동</t>
        </is>
      </c>
      <c r="B19" s="9" t="inlineStr">
        <is>
          <t>Apollo 11 데이터</t>
        </is>
      </c>
      <c r="C19" s="9">
        <f>COUNTIFS('전체 테스트 결과'!$C$2:$C$301,$B19)</f>
        <v/>
      </c>
      <c r="D19" s="9">
        <f>COUNTIFS('전체 테스트 결과'!$C$2:$C$301,$B19,'전체 테스트 결과'!$G$2:$G$301,"통과")</f>
        <v/>
      </c>
      <c r="E19" s="9">
        <f>COUNTIFS('전체 테스트 결과'!$C$2:$C$301,$B19,'전체 테스트 결과'!$G$2:$G$301,"실패")</f>
        <v/>
      </c>
    </row>
    <row r="20">
      <c r="A20" s="8" t="inlineStr">
        <is>
          <t>단위/연동</t>
        </is>
      </c>
      <c r="B20" s="8" t="inlineStr">
        <is>
          <t>미션 시뮬레이터</t>
        </is>
      </c>
      <c r="C20" s="8">
        <f>COUNTIFS('전체 테스트 결과'!$C$2:$C$301,$B20)</f>
        <v/>
      </c>
      <c r="D20" s="8">
        <f>COUNTIFS('전체 테스트 결과'!$C$2:$C$301,$B20,'전체 테스트 결과'!$G$2:$G$301,"통과")</f>
        <v/>
      </c>
      <c r="E20" s="8">
        <f>COUNTIFS('전체 테스트 결과'!$C$2:$C$301,$B20,'전체 테스트 결과'!$G$2:$G$301,"실패")</f>
        <v/>
      </c>
    </row>
    <row r="21">
      <c r="A21" s="9" t="inlineStr">
        <is>
          <t>단위/연동</t>
        </is>
      </c>
      <c r="B21" s="9" t="inlineStr">
        <is>
          <t>미션↔DSKY 연동</t>
        </is>
      </c>
      <c r="C21" s="9">
        <f>COUNTIFS('전체 테스트 결과'!$C$2:$C$301,$B21)</f>
        <v/>
      </c>
      <c r="D21" s="9">
        <f>COUNTIFS('전체 테스트 결과'!$C$2:$C$301,$B21,'전체 테스트 결과'!$G$2:$G$301,"통과")</f>
        <v/>
      </c>
      <c r="E21" s="9">
        <f>COUNTIFS('전체 테스트 결과'!$C$2:$C$301,$B21,'전체 테스트 결과'!$G$2:$G$301,"실패")</f>
        <v/>
      </c>
    </row>
    <row r="22">
      <c r="A22" s="8" t="inlineStr">
        <is>
          <t>단위/연동</t>
        </is>
      </c>
      <c r="B22" s="8" t="inlineStr">
        <is>
          <t>미션↔DSKY 연결(자동 표시)</t>
        </is>
      </c>
      <c r="C22" s="8">
        <f>COUNTIFS('전체 테스트 결과'!$C$2:$C$301,$B22)</f>
        <v/>
      </c>
      <c r="D22" s="8">
        <f>COUNTIFS('전체 테스트 결과'!$C$2:$C$301,$B22,'전체 테스트 결과'!$G$2:$G$301,"통과")</f>
        <v/>
      </c>
      <c r="E22" s="8">
        <f>COUNTIFS('전체 테스트 결과'!$C$2:$C$301,$B22,'전체 테스트 결과'!$G$2:$G$301,"실패")</f>
        <v/>
      </c>
    </row>
    <row r="23">
      <c r="A23" s="9" t="inlineStr">
        <is>
          <t>UI</t>
        </is>
      </c>
      <c r="B23" s="9" t="inlineStr">
        <is>
          <t>DSKY 화면 컨트롤</t>
        </is>
      </c>
      <c r="C23" s="9">
        <f>COUNTIFS('전체 테스트 결과'!$C$2:$C$301,$B23)</f>
        <v/>
      </c>
      <c r="D23" s="9">
        <f>COUNTIFS('전체 테스트 결과'!$C$2:$C$301,$B23,'전체 테스트 결과'!$G$2:$G$301,"통과")</f>
        <v/>
      </c>
      <c r="E23" s="9">
        <f>COUNTIFS('전체 테스트 결과'!$C$2:$C$301,$B23,'전체 테스트 결과'!$G$2:$G$301,"실패")</f>
        <v/>
      </c>
    </row>
    <row r="24">
      <c r="A24" s="8" t="inlineStr">
        <is>
          <t>UI</t>
        </is>
      </c>
      <c r="B24" s="8" t="inlineStr">
        <is>
          <t>메인 창</t>
        </is>
      </c>
      <c r="C24" s="8">
        <f>COUNTIFS('전체 테스트 결과'!$C$2:$C$301,$B24)</f>
        <v/>
      </c>
      <c r="D24" s="8">
        <f>COUNTIFS('전체 테스트 결과'!$C$2:$C$301,$B24,'전체 테스트 결과'!$G$2:$G$301,"통과")</f>
        <v/>
      </c>
      <c r="E24" s="8">
        <f>COUNTIFS('전체 테스트 결과'!$C$2:$C$301,$B24,'전체 테스트 결과'!$G$2:$G$301,"실패")</f>
        <v/>
      </c>
    </row>
    <row r="25">
      <c r="A25" s="9" t="inlineStr">
        <is>
          <t>UI</t>
        </is>
      </c>
      <c r="B25" s="9" t="inlineStr">
        <is>
          <t>키보드 입력</t>
        </is>
      </c>
      <c r="C25" s="9">
        <f>COUNTIFS('전체 테스트 결과'!$C$2:$C$301,$B25)</f>
        <v/>
      </c>
      <c r="D25" s="9">
        <f>COUNTIFS('전체 테스트 결과'!$C$2:$C$301,$B25,'전체 테스트 결과'!$G$2:$G$301,"통과")</f>
        <v/>
      </c>
      <c r="E25" s="9">
        <f>COUNTIFS('전체 테스트 결과'!$C$2:$C$301,$B25,'전체 테스트 결과'!$G$2:$G$301,"실패")</f>
        <v/>
      </c>
    </row>
    <row r="26">
      <c r="A26" s="8" t="inlineStr">
        <is>
          <t>UI</t>
        </is>
      </c>
      <c r="B26" s="8" t="inlineStr">
        <is>
          <t>DSKY 조작</t>
        </is>
      </c>
      <c r="C26" s="8">
        <f>COUNTIFS('전체 테스트 결과'!$C$2:$C$301,$B26)</f>
        <v/>
      </c>
      <c r="D26" s="8">
        <f>COUNTIFS('전체 테스트 결과'!$C$2:$C$301,$B26,'전체 테스트 결과'!$G$2:$G$301,"통과")</f>
        <v/>
      </c>
      <c r="E26" s="8">
        <f>COUNTIFS('전체 테스트 결과'!$C$2:$C$301,$B26,'전체 테스트 결과'!$G$2:$G$301,"실패")</f>
        <v/>
      </c>
    </row>
    <row r="27">
      <c r="A27" s="9" t="inlineStr">
        <is>
          <t>UI</t>
        </is>
      </c>
      <c r="B27" s="9" t="inlineStr">
        <is>
          <t>미션 컨트롤</t>
        </is>
      </c>
      <c r="C27" s="9">
        <f>COUNTIFS('전체 테스트 결과'!$C$2:$C$301,$B27)</f>
        <v/>
      </c>
      <c r="D27" s="9">
        <f>COUNTIFS('전체 테스트 결과'!$C$2:$C$301,$B27,'전체 테스트 결과'!$G$2:$G$301,"통과")</f>
        <v/>
      </c>
      <c r="E27" s="9">
        <f>COUNTIFS('전체 테스트 결과'!$C$2:$C$301,$B27,'전체 테스트 결과'!$G$2:$G$301,"실패")</f>
        <v/>
      </c>
    </row>
    <row r="28">
      <c r="A28" s="8" t="inlineStr">
        <is>
          <t>UI</t>
        </is>
      </c>
      <c r="B28" s="8" t="inlineStr">
        <is>
          <t>복합 시나리오</t>
        </is>
      </c>
      <c r="C28" s="8">
        <f>COUNTIFS('전체 테스트 결과'!$C$2:$C$301,$B28)</f>
        <v/>
      </c>
      <c r="D28" s="8">
        <f>COUNTIFS('전체 테스트 결과'!$C$2:$C$301,$B28,'전체 테스트 결과'!$G$2:$G$301,"통과")</f>
        <v/>
      </c>
      <c r="E28" s="8">
        <f>COUNTIFS('전체 테스트 결과'!$C$2:$C$301,$B28,'전체 테스트 결과'!$G$2:$G$301,"실패")</f>
        <v/>
      </c>
    </row>
    <row r="29">
      <c r="A29" s="9" t="inlineStr">
        <is>
          <t>UI</t>
        </is>
      </c>
      <c r="B29" s="9" t="inlineStr">
        <is>
          <t>실제 창</t>
        </is>
      </c>
      <c r="C29" s="9">
        <f>COUNTIFS('전체 테스트 결과'!$C$2:$C$301,$B29)</f>
        <v/>
      </c>
      <c r="D29" s="9">
        <f>COUNTIFS('전체 테스트 결과'!$C$2:$C$301,$B29,'전체 테스트 결과'!$G$2:$G$301,"통과")</f>
        <v/>
      </c>
      <c r="E29" s="9">
        <f>COUNTIFS('전체 테스트 결과'!$C$2:$C$301,$B29,'전체 테스트 결과'!$G$2:$G$301,"실패")</f>
        <v/>
      </c>
    </row>
    <row r="30">
      <c r="A30" s="8" t="inlineStr">
        <is>
          <t>UI</t>
        </is>
      </c>
      <c r="B30" s="8" t="inlineStr">
        <is>
          <t>우주선 전환(CM/LM)</t>
        </is>
      </c>
      <c r="C30" s="8">
        <f>COUNTIFS('전체 테스트 결과'!$C$2:$C$301,$B30)</f>
        <v/>
      </c>
      <c r="D30" s="8">
        <f>COUNTIFS('전체 테스트 결과'!$C$2:$C$301,$B30,'전체 테스트 결과'!$G$2:$G$301,"통과")</f>
        <v/>
      </c>
      <c r="E30" s="8">
        <f>COUNTIFS('전체 테스트 결과'!$C$2:$C$301,$B30,'전체 테스트 결과'!$G$2:$G$301,"실패")</f>
        <v/>
      </c>
    </row>
    <row r="31">
      <c r="A31" s="9" t="inlineStr">
        <is>
          <t>UI</t>
        </is>
      </c>
      <c r="B31" s="9" t="inlineStr">
        <is>
          <t>천체 렌더러</t>
        </is>
      </c>
      <c r="C31" s="9">
        <f>COUNTIFS('전체 테스트 결과'!$C$2:$C$301,$B31)</f>
        <v/>
      </c>
      <c r="D31" s="9">
        <f>COUNTIFS('전체 테스트 결과'!$C$2:$C$301,$B31,'전체 테스트 결과'!$G$2:$G$301,"통과")</f>
        <v/>
      </c>
      <c r="E31" s="9">
        <f>COUNTIFS('전체 테스트 결과'!$C$2:$C$301,$B31,'전체 테스트 결과'!$G$2:$G$301,"실패")</f>
        <v/>
      </c>
    </row>
    <row r="32">
      <c r="A32" s="8" t="inlineStr">
        <is>
          <t>UI</t>
        </is>
      </c>
      <c r="B32" s="8" t="inlineStr">
        <is>
          <t>미션 장면</t>
        </is>
      </c>
      <c r="C32" s="8">
        <f>COUNTIFS('전체 테스트 결과'!$C$2:$C$301,$B32)</f>
        <v/>
      </c>
      <c r="D32" s="8">
        <f>COUNTIFS('전체 테스트 결과'!$C$2:$C$301,$B32,'전체 테스트 결과'!$G$2:$G$301,"통과")</f>
        <v/>
      </c>
      <c r="E32" s="8">
        <f>COUNTIFS('전체 테스트 결과'!$C$2:$C$301,$B32,'전체 테스트 결과'!$G$2:$G$301,"실패")</f>
        <v/>
      </c>
    </row>
    <row r="33">
      <c r="A33" s="9" t="inlineStr">
        <is>
          <t>UI</t>
        </is>
      </c>
      <c r="B33" s="9" t="inlineStr">
        <is>
          <t>단계 가이드 패널</t>
        </is>
      </c>
      <c r="C33" s="9">
        <f>COUNTIFS('전체 테스트 결과'!$C$2:$C$301,$B33)</f>
        <v/>
      </c>
      <c r="D33" s="9">
        <f>COUNTIFS('전체 테스트 결과'!$C$2:$C$301,$B33,'전체 테스트 결과'!$G$2:$G$301,"통과")</f>
        <v/>
      </c>
      <c r="E33" s="9">
        <f>COUNTIFS('전체 테스트 결과'!$C$2:$C$301,$B33,'전체 테스트 결과'!$G$2:$G$301,"실패")</f>
        <v/>
      </c>
    </row>
    <row r="34">
      <c r="A34" s="8" t="inlineStr">
        <is>
          <t>단위/연동</t>
        </is>
      </c>
      <c r="B34" s="8" t="inlineStr">
        <is>
          <t>단계 가이드 데이터</t>
        </is>
      </c>
      <c r="C34" s="8">
        <f>COUNTIFS('전체 테스트 결과'!$C$2:$C$301,$B34)</f>
        <v/>
      </c>
      <c r="D34" s="8">
        <f>COUNTIFS('전체 테스트 결과'!$C$2:$C$301,$B34,'전체 테스트 결과'!$G$2:$G$301,"통과")</f>
        <v/>
      </c>
      <c r="E34" s="8">
        <f>COUNTIFS('전체 테스트 결과'!$C$2:$C$301,$B34,'전체 테스트 결과'!$G$2:$G$301,"실패")</f>
        <v/>
      </c>
    </row>
    <row r="35">
      <c r="A35" s="9" t="inlineStr">
        <is>
          <t>단위/연동</t>
        </is>
      </c>
      <c r="B35" s="9" t="inlineStr">
        <is>
          <t>DSKY 키 표기</t>
        </is>
      </c>
      <c r="C35" s="9">
        <f>COUNTIFS('전체 테스트 결과'!$C$2:$C$301,$B35)</f>
        <v/>
      </c>
      <c r="D35" s="9">
        <f>COUNTIFS('전체 테스트 결과'!$C$2:$C$301,$B35,'전체 테스트 결과'!$G$2:$G$301,"통과")</f>
        <v/>
      </c>
      <c r="E35" s="9">
        <f>COUNTIFS('전체 테스트 결과'!$C$2:$C$301,$B35,'전체 테스트 결과'!$G$2:$G$301,"실패")</f>
        <v/>
      </c>
    </row>
    <row r="36">
      <c r="A36" s="10" t="inlineStr">
        <is>
          <t>합계</t>
        </is>
      </c>
      <c r="B36" s="10" t="n"/>
      <c r="C36" s="10">
        <f>SUM(C12:C35)</f>
        <v/>
      </c>
      <c r="D36" s="10">
        <f>SUM(D12:D35)</f>
        <v/>
      </c>
      <c r="E36" s="10">
        <f>SUM(E12:E35)</f>
        <v/>
      </c>
    </row>
    <row r="38">
      <c r="A38" s="4" t="inlineStr">
        <is>
          <t>시트 안내</t>
        </is>
      </c>
    </row>
    <row r="39">
      <c r="A39" s="5" t="inlineStr">
        <is>
          <t>· UI 시나리오: 기능별 UI 테스트 시나리오(사전조건·절차·기대결과)와 자동화 테스트 매핑, 최신 실행 결과(수식)</t>
        </is>
      </c>
    </row>
    <row r="40">
      <c r="A40" s="5" t="inlineStr">
        <is>
          <t>· 전체 테스트 결과: 모든 자동 테스트(단위/연동/UI)의 실행 결과</t>
        </is>
      </c>
    </row>
    <row r="41">
      <c r="A41" s="5" t="inlineStr">
        <is>
          <t>· 발견된 결함: 테스트로 발견해 수정한 문제와 원인/조치</t>
        </is>
      </c>
    </row>
    <row r="42">
      <c r="A42" s="5" t="inlineStr">
        <is>
          <t>분류: 단일(한 기능) / 복합(여러 기능을 엮은 흐름) / 실제 창(창을 띄우거나 프로세스로 실행) / 매핑표(변환 규칙)</t>
        </is>
      </c>
    </row>
    <row r="43">
      <c r="A43" s="5" t="inlineStr">
        <is>
          <t>시나리오 ID 접두사: K 키보드, D DSKY 조작, S 미션 컨트롤, C 복합, R 실제 창, P DSKY 화면 컨트롤, W 메인 창, V 우주선 전환(CM/LM), G 천체·장면 렌더링, U 단계 가이드 패널</t>
        </is>
      </c>
    </row>
    <row r="44">
      <c r="A44" s="5" t="inlineStr">
        <is>
          <t>참고: 수식 값은 Excel에서 파일을 열 때 계산된다. 시나리오를 추가하면 tools/test_scenario_catalog.py에 항목을 더하고 위 명령으로 다시 만든다.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8" customWidth="1" min="3" max="3"/>
    <col width="34" customWidth="1" min="4" max="4"/>
    <col width="22" customWidth="1" min="5" max="5"/>
    <col width="44" customWidth="1" min="6" max="6"/>
    <col width="46" customWidth="1" min="7" max="7"/>
    <col width="46" customWidth="1" min="8" max="8"/>
    <col width="9" customWidth="1" min="9" max="9"/>
    <col width="12" customWidth="1" min="10" max="10"/>
  </cols>
  <sheetData>
    <row r="1">
      <c r="A1" s="7" t="inlineStr">
        <is>
          <t>시나리오 ID</t>
        </is>
      </c>
      <c r="B1" s="7" t="inlineStr">
        <is>
          <t>분류</t>
        </is>
      </c>
      <c r="C1" s="7" t="inlineStr">
        <is>
          <t>기능</t>
        </is>
      </c>
      <c r="D1" s="7" t="inlineStr">
        <is>
          <t>시나리오</t>
        </is>
      </c>
      <c r="E1" s="7" t="inlineStr">
        <is>
          <t>사전조건</t>
        </is>
      </c>
      <c r="F1" s="7" t="inlineStr">
        <is>
          <t>절차</t>
        </is>
      </c>
      <c r="G1" s="7" t="inlineStr">
        <is>
          <t>기대결과</t>
        </is>
      </c>
      <c r="H1" s="7" t="inlineStr">
        <is>
          <t>자동화 테스트</t>
        </is>
      </c>
      <c r="I1" s="7" t="inlineStr">
        <is>
          <t>결과</t>
        </is>
      </c>
      <c r="J1" s="7" t="inlineStr">
        <is>
          <t>실행 시점 결과</t>
        </is>
      </c>
    </row>
    <row r="2">
      <c r="A2" s="8" t="inlineStr">
        <is>
          <t>UI-K01</t>
        </is>
      </c>
      <c r="B2" s="8" t="inlineStr">
        <is>
          <t>매핑표</t>
        </is>
      </c>
      <c r="C2" s="8" t="inlineStr">
        <is>
          <t>키보드 입력</t>
        </is>
      </c>
      <c r="D2" s="11" t="inlineStr">
        <is>
          <t>상단 숫자 키 0~9 매핑</t>
        </is>
      </c>
      <c r="E2" s="11" t="inlineStr">
        <is>
          <t>-</t>
        </is>
      </c>
      <c r="F2" s="11" t="inlineStr">
        <is>
          <t>D0~D9 키를 변환한다</t>
        </is>
      </c>
      <c r="G2" s="11" t="inlineStr">
        <is>
          <t>각각 DSKY 숫자 키 0~9</t>
        </is>
      </c>
      <c r="H2" s="11" t="inlineStr">
        <is>
          <t>KeyboardMappingTests.TopRowDigits_MapToDigitKeys</t>
        </is>
      </c>
      <c r="I2" s="8">
        <f>IFERROR(INDEX('전체 테스트 결과'!$G$2:$G$301,MATCH($A2,'전체 테스트 결과'!$F$2:$F$301,0)),"미구현")</f>
        <v/>
      </c>
      <c r="J2" s="8" t="inlineStr">
        <is>
          <t>통과</t>
        </is>
      </c>
    </row>
    <row r="3">
      <c r="A3" s="9" t="inlineStr">
        <is>
          <t>UI-K02</t>
        </is>
      </c>
      <c r="B3" s="9" t="inlineStr">
        <is>
          <t>매핑표</t>
        </is>
      </c>
      <c r="C3" s="9" t="inlineStr">
        <is>
          <t>키보드 입력</t>
        </is>
      </c>
      <c r="D3" s="12" t="inlineStr">
        <is>
          <t>넘패드 숫자 키 0~9 매핑</t>
        </is>
      </c>
      <c r="E3" s="12" t="inlineStr">
        <is>
          <t>-</t>
        </is>
      </c>
      <c r="F3" s="12" t="inlineStr">
        <is>
          <t>NumPad0~9 키를 변환한다</t>
        </is>
      </c>
      <c r="G3" s="12" t="inlineStr">
        <is>
          <t>각각 DSKY 숫자 키 0~9</t>
        </is>
      </c>
      <c r="H3" s="12" t="inlineStr">
        <is>
          <t>KeyboardMappingTests.NumpadDigits_MapToDigitKeys</t>
        </is>
      </c>
      <c r="I3" s="9">
        <f>IFERROR(INDEX('전체 테스트 결과'!$G$2:$G$301,MATCH($A3,'전체 테스트 결과'!$F$2:$F$301,0)),"미구현")</f>
        <v/>
      </c>
      <c r="J3" s="9" t="inlineStr">
        <is>
          <t>통과</t>
        </is>
      </c>
    </row>
    <row r="4">
      <c r="A4" s="8" t="inlineStr">
        <is>
          <t>UI-K03</t>
        </is>
      </c>
      <c r="B4" s="8" t="inlineStr">
        <is>
          <t>매핑표</t>
        </is>
      </c>
      <c r="C4" s="8" t="inlineStr">
        <is>
          <t>키보드 입력</t>
        </is>
      </c>
      <c r="D4" s="11" t="inlineStr">
        <is>
          <t>Shift+숫자는 무시</t>
        </is>
      </c>
      <c r="E4" s="11" t="inlineStr">
        <is>
          <t>-</t>
        </is>
      </c>
      <c r="F4" s="11" t="inlineStr">
        <is>
          <t>Shift를 누른 채 D0~D9를 변환한다</t>
        </is>
      </c>
      <c r="G4" s="11" t="inlineStr">
        <is>
          <t>모두 매핑 없음(기호 입력이므로)</t>
        </is>
      </c>
      <c r="H4" s="11" t="inlineStr">
        <is>
          <t>KeyboardMappingTests.ShiftedTopRowDigits_AreIgnored</t>
        </is>
      </c>
      <c r="I4" s="8">
        <f>IFERROR(INDEX('전체 테스트 결과'!$G$2:$G$301,MATCH($A4,'전체 테스트 결과'!$F$2:$F$301,0)),"미구현")</f>
        <v/>
      </c>
      <c r="J4" s="8" t="inlineStr">
        <is>
          <t>통과</t>
        </is>
      </c>
    </row>
    <row r="5">
      <c r="A5" s="9" t="inlineStr">
        <is>
          <t>UI-K04</t>
        </is>
      </c>
      <c r="B5" s="9" t="inlineStr">
        <is>
          <t>매핑표</t>
        </is>
      </c>
      <c r="C5" s="9" t="inlineStr">
        <is>
          <t>키보드 입력</t>
        </is>
      </c>
      <c r="D5" s="12" t="inlineStr">
        <is>
          <t>+ 키 매핑</t>
        </is>
      </c>
      <c r="E5" s="12" t="inlineStr">
        <is>
          <t>-</t>
        </is>
      </c>
      <c r="F5" s="12" t="inlineStr">
        <is>
          <t>넘패드 +, Shift+'=', 그냥 '='를 변환한다</t>
        </is>
      </c>
      <c r="G5" s="12" t="inlineStr">
        <is>
          <t>앞의 둘은 + 키, 그냥 '='는 매핑 없음</t>
        </is>
      </c>
      <c r="H5" s="12" t="inlineStr">
        <is>
          <t>KeyboardMappingTests.PlusKeys_NumpadAddAndShiftEquals</t>
        </is>
      </c>
      <c r="I5" s="9">
        <f>IFERROR(INDEX('전체 테스트 결과'!$G$2:$G$301,MATCH($A5,'전체 테스트 결과'!$F$2:$F$301,0)),"미구현")</f>
        <v/>
      </c>
      <c r="J5" s="9" t="inlineStr">
        <is>
          <t>통과</t>
        </is>
      </c>
    </row>
    <row r="6">
      <c r="A6" s="8" t="inlineStr">
        <is>
          <t>UI-K05</t>
        </is>
      </c>
      <c r="B6" s="8" t="inlineStr">
        <is>
          <t>매핑표</t>
        </is>
      </c>
      <c r="C6" s="8" t="inlineStr">
        <is>
          <t>키보드 입력</t>
        </is>
      </c>
      <c r="D6" s="11" t="inlineStr">
        <is>
          <t>− 키 매핑</t>
        </is>
      </c>
      <c r="E6" s="11" t="inlineStr">
        <is>
          <t>-</t>
        </is>
      </c>
      <c r="F6" s="11" t="inlineStr">
        <is>
          <t>넘패드 −, '-'를 변환한다</t>
        </is>
      </c>
      <c r="G6" s="11" t="inlineStr">
        <is>
          <t>둘 다 − 키</t>
        </is>
      </c>
      <c r="H6" s="11" t="inlineStr">
        <is>
          <t>KeyboardMappingTests.MinusKeys_NumpadSubtractAndHyphen</t>
        </is>
      </c>
      <c r="I6" s="8">
        <f>IFERROR(INDEX('전체 테스트 결과'!$G$2:$G$301,MATCH($A6,'전체 테스트 결과'!$F$2:$F$301,0)),"미구현")</f>
        <v/>
      </c>
      <c r="J6" s="8" t="inlineStr">
        <is>
          <t>통과</t>
        </is>
      </c>
    </row>
    <row r="7">
      <c r="A7" s="9" t="inlineStr">
        <is>
          <t>UI-K06</t>
        </is>
      </c>
      <c r="B7" s="9" t="inlineStr">
        <is>
          <t>매핑표</t>
        </is>
      </c>
      <c r="C7" s="9" t="inlineStr">
        <is>
          <t>키보드 입력</t>
        </is>
      </c>
      <c r="D7" s="12" t="inlineStr">
        <is>
          <t>V/N/Enter/C/Backspace/R/K/P 매핑</t>
        </is>
      </c>
      <c r="E7" s="12" t="inlineStr">
        <is>
          <t>-</t>
        </is>
      </c>
      <c r="F7" s="12" t="inlineStr">
        <is>
          <t>각 키를 변환한다</t>
        </is>
      </c>
      <c r="G7" s="12" t="inlineStr">
        <is>
          <t>VERB/NOUN/ENTR/CLR/CLR/RSET/KEY REL/PRO</t>
        </is>
      </c>
      <c r="H7" s="12" t="inlineStr">
        <is>
          <t>KeyboardMappingTests.LetterAndControlKeys_MapToInstructionKeys</t>
        </is>
      </c>
      <c r="I7" s="9">
        <f>IFERROR(INDEX('전체 테스트 결과'!$G$2:$G$301,MATCH($A7,'전체 테스트 결과'!$F$2:$F$301,0)),"미구현")</f>
        <v/>
      </c>
      <c r="J7" s="9" t="inlineStr">
        <is>
          <t>통과</t>
        </is>
      </c>
    </row>
    <row r="8">
      <c r="A8" s="8" t="inlineStr">
        <is>
          <t>UI-K07</t>
        </is>
      </c>
      <c r="B8" s="8" t="inlineStr">
        <is>
          <t>매핑표</t>
        </is>
      </c>
      <c r="C8" s="8" t="inlineStr">
        <is>
          <t>키보드 입력</t>
        </is>
      </c>
      <c r="D8" s="11" t="inlineStr">
        <is>
          <t>Ctrl/Alt 조합은 무시</t>
        </is>
      </c>
      <c r="E8" s="11" t="inlineStr">
        <is>
          <t>-</t>
        </is>
      </c>
      <c r="F8" s="11" t="inlineStr">
        <is>
          <t>Ctrl+C, Ctrl+V, Alt+N 등을 변환한다</t>
        </is>
      </c>
      <c r="G8" s="11" t="inlineStr">
        <is>
          <t>단축키와 충돌하지 않도록 모두 매핑 없음</t>
        </is>
      </c>
      <c r="H8" s="11" t="inlineStr">
        <is>
          <t>KeyboardMappingTests.CtrlOrAltCombinations_AreIgnored</t>
        </is>
      </c>
      <c r="I8" s="8">
        <f>IFERROR(INDEX('전체 테스트 결과'!$G$2:$G$301,MATCH($A8,'전체 테스트 결과'!$F$2:$F$301,0)),"미구현")</f>
        <v/>
      </c>
      <c r="J8" s="8" t="inlineStr">
        <is>
          <t>통과</t>
        </is>
      </c>
    </row>
    <row r="9">
      <c r="A9" s="9" t="inlineStr">
        <is>
          <t>UI-K08</t>
        </is>
      </c>
      <c r="B9" s="9" t="inlineStr">
        <is>
          <t>매핑표</t>
        </is>
      </c>
      <c r="C9" s="9" t="inlineStr">
        <is>
          <t>키보드 입력</t>
        </is>
      </c>
      <c r="D9" s="12" t="inlineStr">
        <is>
          <t>매핑 없는 키</t>
        </is>
      </c>
      <c r="E9" s="12" t="inlineStr">
        <is>
          <t>-</t>
        </is>
      </c>
      <c r="F9" s="12" t="inlineStr">
        <is>
          <t>A, Z, Space, Tab, ←, F5, Esc, Delete, D를 변환한다</t>
        </is>
      </c>
      <c r="G9" s="12" t="inlineStr">
        <is>
          <t>모두 매핑 없음</t>
        </is>
      </c>
      <c r="H9" s="12" t="inlineStr">
        <is>
          <t>KeyboardMappingTests.UnmappedKeys_ReturnNull</t>
        </is>
      </c>
      <c r="I9" s="9">
        <f>IFERROR(INDEX('전체 테스트 결과'!$G$2:$G$301,MATCH($A9,'전체 테스트 결과'!$F$2:$F$301,0)),"미구현")</f>
        <v/>
      </c>
      <c r="J9" s="9" t="inlineStr">
        <is>
          <t>통과</t>
        </is>
      </c>
    </row>
    <row r="10">
      <c r="A10" s="8" t="inlineStr">
        <is>
          <t>UI-K09</t>
        </is>
      </c>
      <c r="B10" s="8" t="inlineStr">
        <is>
          <t>매핑표</t>
        </is>
      </c>
      <c r="C10" s="8" t="inlineStr">
        <is>
          <t>키보드 입력</t>
        </is>
      </c>
      <c r="D10" s="11" t="inlineStr">
        <is>
          <t>DSKY 키 19개 전부 PC 키로 도달 가능</t>
        </is>
      </c>
      <c r="E10" s="11" t="inlineStr">
        <is>
          <t>-</t>
        </is>
      </c>
      <c r="F10" s="11" t="inlineStr">
        <is>
          <t>모든 PC 키를 변환해 나온 DSKY 키 집합을 모은다</t>
        </is>
      </c>
      <c r="G10" s="11" t="inlineStr">
        <is>
          <t>19개 DSKY 키 전체가 포함</t>
        </is>
      </c>
      <c r="H10" s="11" t="inlineStr">
        <is>
          <t>KeyboardMappingTests.EveryDskyKey_IsReachableFromSomePcKey</t>
        </is>
      </c>
      <c r="I10" s="8">
        <f>IFERROR(INDEX('전체 테스트 결과'!$G$2:$G$301,MATCH($A10,'전체 테스트 결과'!$F$2:$F$301,0)),"미구현")</f>
        <v/>
      </c>
      <c r="J10" s="8" t="inlineStr">
        <is>
          <t>통과</t>
        </is>
      </c>
    </row>
    <row r="11">
      <c r="A11" s="9" t="inlineStr">
        <is>
          <t>UI-K10</t>
        </is>
      </c>
      <c r="B11" s="9" t="inlineStr">
        <is>
          <t>단일</t>
        </is>
      </c>
      <c r="C11" s="9" t="inlineStr">
        <is>
          <t>키보드 입력</t>
        </is>
      </c>
      <c r="D11" s="12" t="inlineStr">
        <is>
          <t>키보드로 V35E 램프 테스트</t>
        </is>
      </c>
      <c r="E11" s="12" t="inlineStr">
        <is>
          <t>창 생성(발사 시점=사령선)</t>
        </is>
      </c>
      <c r="F11" s="12" t="inlineStr">
        <is>
          <t>V, 3, 5, Enter 키를 차례로 누른다</t>
        </is>
      </c>
      <c r="G11" s="12" t="inlineStr">
        <is>
          <t>모든 키가 처리됨, 사령선 램프 11개 점등(ALT/VEL 없음), VERB 88, R1 +88888</t>
        </is>
      </c>
      <c r="H11" s="12" t="inlineStr">
        <is>
          <t>KeyboardMappingTests.KeyboardSequence_V35E_RunsLampTestInTheWindow</t>
        </is>
      </c>
      <c r="I11" s="9">
        <f>IFERROR(INDEX('전체 테스트 결과'!$G$2:$G$301,MATCH($A11,'전체 테스트 결과'!$F$2:$F$301,0)),"미구현")</f>
        <v/>
      </c>
      <c r="J11" s="9" t="inlineStr">
        <is>
          <t>통과</t>
        </is>
      </c>
    </row>
    <row r="12">
      <c r="A12" s="8" t="inlineStr">
        <is>
          <t>UI-K11</t>
        </is>
      </c>
      <c r="B12" s="8" t="inlineStr">
        <is>
          <t>단일</t>
        </is>
      </c>
      <c r="C12" s="8" t="inlineStr">
        <is>
          <t>키보드 입력</t>
        </is>
      </c>
      <c r="D12" s="11" t="inlineStr">
        <is>
          <t>넘패드/부호 키로 데이터 로드 입력</t>
        </is>
      </c>
      <c r="E12" s="11" t="inlineStr">
        <is>
          <t>창 생성</t>
        </is>
      </c>
      <c r="F12" s="11" t="inlineStr">
        <is>
          <t>V25 N36 Enter 후 + 0 0 입력, 이어서 − 키</t>
        </is>
      </c>
      <c r="G12" s="11" t="inlineStr">
        <is>
          <t>R1에 '+00' 표시, 숫자 중간의 부호는 OPR ERR</t>
        </is>
      </c>
      <c r="H12" s="11" t="inlineStr">
        <is>
          <t>KeyboardMappingTests.KeyboardNumpadAndSigns_LoadAClockValue</t>
        </is>
      </c>
      <c r="I12" s="8">
        <f>IFERROR(INDEX('전체 테스트 결과'!$G$2:$G$301,MATCH($A12,'전체 테스트 결과'!$F$2:$F$301,0)),"미구현")</f>
        <v/>
      </c>
      <c r="J12" s="8" t="inlineStr">
        <is>
          <t>통과</t>
        </is>
      </c>
    </row>
    <row r="13">
      <c r="A13" s="9" t="inlineStr">
        <is>
          <t>UI-K12</t>
        </is>
      </c>
      <c r="B13" s="9" t="inlineStr">
        <is>
          <t>실제 창</t>
        </is>
      </c>
      <c r="C13" s="9" t="inlineStr">
        <is>
          <t>키보드 입력</t>
        </is>
      </c>
      <c r="D13" s="12" t="inlineStr">
        <is>
          <t>실제 KeyDown 이벤트 라우팅</t>
        </is>
      </c>
      <c r="E13" s="12" t="inlineStr">
        <is>
          <t>창 생성, HwndSource 준비</t>
        </is>
      </c>
      <c r="F13" s="12" t="inlineStr">
        <is>
          <t>V 키의 PreviewKeyDown 이벤트를 창에 보낸다</t>
        </is>
      </c>
      <c r="G13" s="12" t="inlineStr">
        <is>
          <t>이벤트가 처리됨(Handled)으로 표시되고 VERB 창이 비워진다</t>
        </is>
      </c>
      <c r="H13" s="12" t="inlineStr">
        <is>
          <t>KeyboardMappingTests.RealKeyDownEvent_IsRoutedAndMarkedHandled</t>
        </is>
      </c>
      <c r="I13" s="9">
        <f>IFERROR(INDEX('전체 테스트 결과'!$G$2:$G$301,MATCH($A13,'전체 테스트 결과'!$F$2:$F$301,0)),"미구현")</f>
        <v/>
      </c>
      <c r="J13" s="9" t="inlineStr">
        <is>
          <t>통과</t>
        </is>
      </c>
    </row>
    <row r="14">
      <c r="A14" s="8" t="inlineStr">
        <is>
          <t>UI-K13</t>
        </is>
      </c>
      <c r="B14" s="8" t="inlineStr">
        <is>
          <t>실제 창</t>
        </is>
      </c>
      <c r="C14" s="8" t="inlineStr">
        <is>
          <t>키보드 입력</t>
        </is>
      </c>
      <c r="D14" s="11" t="inlineStr">
        <is>
          <t>DSKY와 무관한 키 이벤트</t>
        </is>
      </c>
      <c r="E14" s="11" t="inlineStr">
        <is>
          <t>창 생성</t>
        </is>
      </c>
      <c r="F14" s="11" t="inlineStr">
        <is>
          <t>← 키 이벤트를 창에 보낸다</t>
        </is>
      </c>
      <c r="G14" s="11" t="inlineStr">
        <is>
          <t>처리되지 않음(슬라이더 방향키 등이 기본 동작)</t>
        </is>
      </c>
      <c r="H14" s="11" t="inlineStr">
        <is>
          <t>KeyboardMappingTests.UnmappedKeyEvent_IsNotHandled</t>
        </is>
      </c>
      <c r="I14" s="8">
        <f>IFERROR(INDEX('전체 테스트 결과'!$G$2:$G$301,MATCH($A14,'전체 테스트 결과'!$F$2:$F$301,0)),"미구현")</f>
        <v/>
      </c>
      <c r="J14" s="8" t="inlineStr">
        <is>
          <t>통과</t>
        </is>
      </c>
    </row>
    <row r="15">
      <c r="A15" s="9" t="inlineStr">
        <is>
          <t>UI-K14</t>
        </is>
      </c>
      <c r="B15" s="9" t="inlineStr">
        <is>
          <t>복합</t>
        </is>
      </c>
      <c r="C15" s="9" t="inlineStr">
        <is>
          <t>키보드 입력</t>
        </is>
      </c>
      <c r="D15" s="12" t="inlineStr">
        <is>
          <t>마우스와 키보드 혼용 입력</t>
        </is>
      </c>
      <c r="E15" s="12" t="inlineStr">
        <is>
          <t>창 생성</t>
        </is>
      </c>
      <c r="F15" s="12" t="inlineStr">
        <is>
          <t>V(키보드) 1(마우스) 6(키보드) NOUN(마우스) 36(마우스) Enter(키보드)</t>
        </is>
      </c>
      <c r="G15" s="12" t="inlineStr">
        <is>
          <t>V16 N36 모니터 실행, COMP ACTY 점등</t>
        </is>
      </c>
      <c r="H15" s="12" t="inlineStr">
        <is>
          <t>KeyboardMappingTests.MouseAndKeyboardCanBeMixedInOneCommand</t>
        </is>
      </c>
      <c r="I15" s="9">
        <f>IFERROR(INDEX('전체 테스트 결과'!$G$2:$G$301,MATCH($A15,'전체 테스트 결과'!$F$2:$F$301,0)),"미구현")</f>
        <v/>
      </c>
      <c r="J15" s="9" t="inlineStr">
        <is>
          <t>통과</t>
        </is>
      </c>
    </row>
    <row r="16">
      <c r="A16" s="8" t="inlineStr">
        <is>
          <t>UI-D01</t>
        </is>
      </c>
      <c r="B16" s="8" t="inlineStr">
        <is>
          <t>단일</t>
        </is>
      </c>
      <c r="C16" s="8" t="inlineStr">
        <is>
          <t>DSKY 조작</t>
        </is>
      </c>
      <c r="D16" s="11" t="inlineStr">
        <is>
          <t>초기 화면: P11이 V16 N62를 스스로 띄움</t>
        </is>
      </c>
      <c r="E16" s="11" t="inlineStr">
        <is>
          <t>창 생성</t>
        </is>
      </c>
      <c r="F16" s="11" t="inlineStr">
        <is>
          <t>아무 조작 없이 화면을 읽는다</t>
        </is>
      </c>
      <c r="G16" s="11" t="inlineStr">
        <is>
          <t>PROG 11, VERB 16/NOUN 62, R1~R3 = 속도 0/고도변화율 +01357/고도 0, COMP ACTY만 점등, 캡션 '사령선'</t>
        </is>
      </c>
      <c r="H16" s="11" t="inlineStr">
        <is>
          <t>DskyOperationUiTests.InitialScreen_P11ShowsTheVelocityMonitorOnTheCommandModuleDsky</t>
        </is>
      </c>
      <c r="I16" s="8">
        <f>IFERROR(INDEX('전체 테스트 결과'!$G$2:$G$301,MATCH($A16,'전체 테스트 결과'!$F$2:$F$301,0)),"미구현")</f>
        <v/>
      </c>
      <c r="J16" s="8" t="inlineStr">
        <is>
          <t>통과</t>
        </is>
      </c>
    </row>
    <row r="17">
      <c r="A17" s="9" t="inlineStr">
        <is>
          <t>UI-D02</t>
        </is>
      </c>
      <c r="B17" s="9" t="inlineStr">
        <is>
          <t>단일</t>
        </is>
      </c>
      <c r="C17" s="9" t="inlineStr">
        <is>
          <t>DSKY 조작</t>
        </is>
      </c>
      <c r="D17" s="12" t="inlineStr">
        <is>
          <t>V35E 램프 테스트 전 과정(사령선)</t>
        </is>
      </c>
      <c r="E17" s="12" t="inlineStr">
        <is>
          <t>초기 화면</t>
        </is>
      </c>
      <c r="F17" s="12" t="inlineStr">
        <is>
          <t>V35E → 4.8초 → 0.4초 진행</t>
        </is>
      </c>
      <c r="G17" s="12" t="inlineStr">
        <is>
          <t>사령선 램프 11개+88 점등(ALT/VEL 없음), V/N 깜박임, 5초 뒤 램프 소등·88 유지·깜박임 정지, PROG는 11</t>
        </is>
      </c>
      <c r="H17" s="12" t="inlineStr">
        <is>
          <t>DskyOperationUiTests.LampTest_V35E_LightsEverythingFlashesThenLeaves88s</t>
        </is>
      </c>
      <c r="I17" s="9">
        <f>IFERROR(INDEX('전체 테스트 결과'!$G$2:$G$301,MATCH($A17,'전체 테스트 결과'!$F$2:$F$301,0)),"미구현")</f>
        <v/>
      </c>
      <c r="J17" s="9" t="inlineStr">
        <is>
          <t>통과</t>
        </is>
      </c>
    </row>
    <row r="18">
      <c r="A18" s="8" t="inlineStr">
        <is>
          <t>UI-D03</t>
        </is>
      </c>
      <c r="B18" s="8" t="inlineStr">
        <is>
          <t>단일</t>
        </is>
      </c>
      <c r="C18" s="8" t="inlineStr">
        <is>
          <t>DSKY 조작</t>
        </is>
      </c>
      <c r="D18" s="11" t="inlineStr">
        <is>
          <t>V16N36E 모니터가 1초마다 갱신</t>
        </is>
      </c>
      <c r="E18" s="11" t="inlineStr">
        <is>
          <t>초기 화면</t>
        </is>
      </c>
      <c r="F18" s="11" t="inlineStr">
        <is>
          <t>V16N36E, 재생(60배속), 0.6초 → 0.4초 → 2초 진행</t>
        </is>
      </c>
      <c r="G18" s="11" t="inlineStr">
        <is>
          <t>1초 전에는 불변, 1초에 분 +00001, 3초에 +00003, COMP ACTY 점등</t>
        </is>
      </c>
      <c r="H18" s="11" t="inlineStr">
        <is>
          <t>DskyOperationUiTests.Monitor_V16N36E_UpdatesEverySecondWhileMissionRuns</t>
        </is>
      </c>
      <c r="I18" s="8">
        <f>IFERROR(INDEX('전체 테스트 결과'!$G$2:$G$301,MATCH($A18,'전체 테스트 결과'!$F$2:$F$301,0)),"미구현")</f>
        <v/>
      </c>
      <c r="J18" s="8" t="inlineStr">
        <is>
          <t>통과</t>
        </is>
      </c>
    </row>
    <row r="19">
      <c r="A19" s="9" t="inlineStr">
        <is>
          <t>UI-D04</t>
        </is>
      </c>
      <c r="B19" s="9" t="inlineStr">
        <is>
          <t>단일</t>
        </is>
      </c>
      <c r="C19" s="9" t="inlineStr">
        <is>
          <t>DSKY 조작</t>
        </is>
      </c>
      <c r="D19" s="12" t="inlineStr">
        <is>
          <t>V06N36E는 1회 표시</t>
        </is>
      </c>
      <c r="E19" s="12" t="inlineStr">
        <is>
          <t>초기 화면</t>
        </is>
      </c>
      <c r="F19" s="12" t="inlineStr">
        <is>
          <t>V06N36E, 재생, 3초 진행</t>
        </is>
      </c>
      <c r="G19" s="12" t="inlineStr">
        <is>
          <t>R2 불변, COMP ACTY 꺼짐, 미션 시간은 000:03:00</t>
        </is>
      </c>
      <c r="H19" s="12" t="inlineStr">
        <is>
          <t>DskyOperationUiTests.DisplayOnce_V06N36E_StaysFrozenWhileMissionRuns</t>
        </is>
      </c>
      <c r="I19" s="9">
        <f>IFERROR(INDEX('전체 테스트 결과'!$G$2:$G$301,MATCH($A19,'전체 테스트 결과'!$F$2:$F$301,0)),"미구현")</f>
        <v/>
      </c>
      <c r="J19" s="9" t="inlineStr">
        <is>
          <t>통과</t>
        </is>
      </c>
    </row>
    <row r="20">
      <c r="A20" s="8" t="inlineStr">
        <is>
          <t>UI-D05</t>
        </is>
      </c>
      <c r="B20" s="8" t="inlineStr">
        <is>
          <t>단일</t>
        </is>
      </c>
      <c r="C20" s="8" t="inlineStr">
        <is>
          <t>DSKY 조작</t>
        </is>
      </c>
      <c r="D20" s="11" t="inlineStr">
        <is>
          <t>잘못된 입력은 OPR ERR, RSET으로 해제</t>
        </is>
      </c>
      <c r="E20" s="11" t="inlineStr">
        <is>
          <t>초기 화면</t>
        </is>
      </c>
      <c r="F20" s="11" t="inlineStr">
        <is>
          <t>숫자 5만 누르고, 이어서 RSET</t>
        </is>
      </c>
      <c r="G20" s="11" t="inlineStr">
        <is>
          <t>OPR ERR 점등 → 소등</t>
        </is>
      </c>
      <c r="H20" s="11" t="inlineStr">
        <is>
          <t>DskyOperationUiTests.OperatorError_LightsOprErrAndRsetClearsIt</t>
        </is>
      </c>
      <c r="I20" s="8">
        <f>IFERROR(INDEX('전체 테스트 결과'!$G$2:$G$301,MATCH($A20,'전체 테스트 결과'!$F$2:$F$301,0)),"미구현")</f>
        <v/>
      </c>
      <c r="J20" s="8" t="inlineStr">
        <is>
          <t>통과</t>
        </is>
      </c>
    </row>
    <row r="21">
      <c r="A21" s="9" t="inlineStr">
        <is>
          <t>UI-D06</t>
        </is>
      </c>
      <c r="B21" s="9" t="inlineStr">
        <is>
          <t>단일</t>
        </is>
      </c>
      <c r="C21" s="9" t="inlineStr">
        <is>
          <t>DSKY 조작</t>
        </is>
      </c>
      <c r="D21" s="12" t="inlineStr">
        <is>
          <t>CLR로 입력 중인 창 지우기</t>
        </is>
      </c>
      <c r="E21" s="12" t="inlineStr">
        <is>
          <t>초기 화면</t>
        </is>
      </c>
      <c r="F21" s="12" t="inlineStr">
        <is>
          <t>V 1 CLR</t>
        </is>
      </c>
      <c r="G21" s="12" t="inlineStr">
        <is>
          <t>VERB 창이 비워지고 오류 없음</t>
        </is>
      </c>
      <c r="H21" s="12" t="inlineStr">
        <is>
          <t>DskyOperationUiTests.Clear_ErasesTheFieldBeingTyped</t>
        </is>
      </c>
      <c r="I21" s="9">
        <f>IFERROR(INDEX('전체 테스트 결과'!$G$2:$G$301,MATCH($A21,'전체 테스트 결과'!$F$2:$F$301,0)),"미구현")</f>
        <v/>
      </c>
      <c r="J21" s="9" t="inlineStr">
        <is>
          <t>통과</t>
        </is>
      </c>
    </row>
    <row r="22">
      <c r="A22" s="8" t="inlineStr">
        <is>
          <t>UI-D07</t>
        </is>
      </c>
      <c r="B22" s="8" t="inlineStr">
        <is>
          <t>단일</t>
        </is>
      </c>
      <c r="C22" s="8" t="inlineStr">
        <is>
          <t>DSKY 조작</t>
        </is>
      </c>
      <c r="D22" s="11" t="inlineStr">
        <is>
          <t>V37E00E 프로그램 변경</t>
        </is>
      </c>
      <c r="E22" s="11" t="inlineStr">
        <is>
          <t>초기 화면(P11)</t>
        </is>
      </c>
      <c r="F22" s="11" t="inlineStr">
        <is>
          <t>V37E → 깜박임 확인 → 00E</t>
        </is>
      </c>
      <c r="G22" s="11" t="inlineStr">
        <is>
          <t>PROG가 00, 입력 완료 후 깜박임 정지</t>
        </is>
      </c>
      <c r="H22" s="11" t="inlineStr">
        <is>
          <t>DskyOperationUiTests.ProgramChange_V37E00E_ChangesProgWindowAndStopsFlashing</t>
        </is>
      </c>
      <c r="I22" s="8">
        <f>IFERROR(INDEX('전체 테스트 결과'!$G$2:$G$301,MATCH($A22,'전체 테스트 결과'!$F$2:$F$301,0)),"미구현")</f>
        <v/>
      </c>
      <c r="J22" s="8" t="inlineStr">
        <is>
          <t>통과</t>
        </is>
      </c>
    </row>
    <row r="23">
      <c r="A23" s="9" t="inlineStr">
        <is>
          <t>UI-D08</t>
        </is>
      </c>
      <c r="B23" s="9" t="inlineStr">
        <is>
          <t>단일</t>
        </is>
      </c>
      <c r="C23" s="9" t="inlineStr">
        <is>
          <t>DSKY 조작</t>
        </is>
      </c>
      <c r="D23" s="12" t="inlineStr">
        <is>
          <t>V25N36E 시계 로드 후 모니터</t>
        </is>
      </c>
      <c r="E23" s="12" t="inlineStr">
        <is>
          <t>초기 화면</t>
        </is>
      </c>
      <c r="F23" s="12" t="inlineStr">
        <is>
          <t>V25N36E → +00102E +00033E +00500E → V16N36E</t>
        </is>
      </c>
      <c r="G23" s="12" t="inlineStr">
        <is>
          <t>깜박임 중 레지스터 빈 상태, 로드 후 R1~R3가 입력값</t>
        </is>
      </c>
      <c r="H23" s="12" t="inlineStr">
        <is>
          <t>DskyOperationUiTests.ClockLoad_V25N36E_SetsClockThenMonitorShowsLoadedValue</t>
        </is>
      </c>
      <c r="I23" s="9">
        <f>IFERROR(INDEX('전체 테스트 결과'!$G$2:$G$301,MATCH($A23,'전체 테스트 결과'!$F$2:$F$301,0)),"미구현")</f>
        <v/>
      </c>
      <c r="J23" s="9" t="inlineStr">
        <is>
          <t>통과</t>
        </is>
      </c>
    </row>
    <row r="24">
      <c r="A24" s="8" t="inlineStr">
        <is>
          <t>UI-D09</t>
        </is>
      </c>
      <c r="B24" s="8" t="inlineStr">
        <is>
          <t>단일</t>
        </is>
      </c>
      <c r="C24" s="8" t="inlineStr">
        <is>
          <t>DSKY 조작</t>
        </is>
      </c>
      <c r="D24" s="11" t="inlineStr">
        <is>
          <t>입력 중 V/N 창에 숫자가 차례로 표시</t>
        </is>
      </c>
      <c r="E24" s="11" t="inlineStr">
        <is>
          <t>초기 화면</t>
        </is>
      </c>
      <c r="F24" s="11" t="inlineStr">
        <is>
          <t>V1, 6, N6, 3을 차례로 누른다</t>
        </is>
      </c>
      <c r="G24" s="11" t="inlineStr">
        <is>
          <t>'1 ' → '16', '6 ' → '63'</t>
        </is>
      </c>
      <c r="H24" s="11" t="inlineStr">
        <is>
          <t>DskyOperationUiTests.Typing_ShowsDigitsProgressivelyInVerbAndNounWindows</t>
        </is>
      </c>
      <c r="I24" s="8">
        <f>IFERROR(INDEX('전체 테스트 결과'!$G$2:$G$301,MATCH($A24,'전체 테스트 결과'!$F$2:$F$301,0)),"미구현")</f>
        <v/>
      </c>
      <c r="J24" s="8" t="inlineStr">
        <is>
          <t>통과</t>
        </is>
      </c>
    </row>
    <row r="25">
      <c r="A25" s="9" t="inlineStr">
        <is>
          <t>UI-D10</t>
        </is>
      </c>
      <c r="B25" s="9" t="inlineStr">
        <is>
          <t>단일</t>
        </is>
      </c>
      <c r="C25" s="9" t="inlineStr">
        <is>
          <t>DSKY 조작</t>
        </is>
      </c>
      <c r="D25" s="12" t="inlineStr">
        <is>
          <t>KEY REL로 표시 해제</t>
        </is>
      </c>
      <c r="E25" s="12" t="inlineStr">
        <is>
          <t>V16N36E 실행 중</t>
        </is>
      </c>
      <c r="F25" s="12" t="inlineStr">
        <is>
          <t>KEY REL</t>
        </is>
      </c>
      <c r="G25" s="12" t="inlineStr">
        <is>
          <t>레지스터·V/N 비움, COMP ACTY 소등</t>
        </is>
      </c>
      <c r="H25" s="12" t="inlineStr">
        <is>
          <t>DskyOperationUiTests.KeyRelease_BlanksDisplayAndStopsMonitor</t>
        </is>
      </c>
      <c r="I25" s="9">
        <f>IFERROR(INDEX('전체 테스트 결과'!$G$2:$G$301,MATCH($A25,'전체 테스트 결과'!$F$2:$F$301,0)),"미구현")</f>
        <v/>
      </c>
      <c r="J25" s="9" t="inlineStr">
        <is>
          <t>통과</t>
        </is>
      </c>
    </row>
    <row r="26">
      <c r="A26" s="8" t="inlineStr">
        <is>
          <t>UI-D11</t>
        </is>
      </c>
      <c r="B26" s="8" t="inlineStr">
        <is>
          <t>단일</t>
        </is>
      </c>
      <c r="C26" s="8" t="inlineStr">
        <is>
          <t>DSKY 조작</t>
        </is>
      </c>
      <c r="D26" s="11" t="inlineStr">
        <is>
          <t>지원하지 않는 명령은 OPR ERR</t>
        </is>
      </c>
      <c r="E26" s="11" t="inlineStr">
        <is>
          <t>초기 화면</t>
        </is>
      </c>
      <c r="F26" s="11" t="inlineStr">
        <is>
          <t>사령선에서 V99E, V06N63E, V06N68E, V06N64E, V06N99E, V16E, V05N36E, V21N36E, V25N43E, E를 각각 입력(사이에 RSET)</t>
        </is>
      </c>
      <c r="G26" s="11" t="inlineStr">
        <is>
          <t>모두 OPR ERR 점등</t>
        </is>
      </c>
      <c r="H26" s="11" t="inlineStr">
        <is>
          <t>DskyOperationUiTests.UnsupportedCommands_LightOprErr</t>
        </is>
      </c>
      <c r="I26" s="8">
        <f>IFERROR(INDEX('전체 테스트 결과'!$G$2:$G$301,MATCH($A26,'전체 테스트 결과'!$F$2:$F$301,0)),"미구현")</f>
        <v/>
      </c>
      <c r="J26" s="8" t="inlineStr">
        <is>
          <t>통과</t>
        </is>
      </c>
    </row>
    <row r="27">
      <c r="A27" s="9" t="inlineStr">
        <is>
          <t>UI-D12</t>
        </is>
      </c>
      <c r="B27" s="9" t="inlineStr">
        <is>
          <t>단일</t>
        </is>
      </c>
      <c r="C27" s="9" t="inlineStr">
        <is>
          <t>DSKY 조작</t>
        </is>
      </c>
      <c r="D27" s="12" t="inlineStr">
        <is>
          <t>로드 중 V34E로 취소</t>
        </is>
      </c>
      <c r="E27" s="12" t="inlineStr">
        <is>
          <t>V25N36E +001 입력 중</t>
        </is>
      </c>
      <c r="F27" s="12" t="inlineStr">
        <is>
          <t>V34E</t>
        </is>
      </c>
      <c r="G27" s="12" t="inlineStr">
        <is>
          <t>깜박임 정지, OPR ERR 없음</t>
        </is>
      </c>
      <c r="H27" s="12" t="inlineStr">
        <is>
          <t>DskyOperationUiTests.LoadCanBeCancelledWithV34</t>
        </is>
      </c>
      <c r="I27" s="9">
        <f>IFERROR(INDEX('전체 테스트 결과'!$G$2:$G$301,MATCH($A27,'전체 테스트 결과'!$F$2:$F$301,0)),"미구현")</f>
        <v/>
      </c>
      <c r="J27" s="9" t="inlineStr">
        <is>
          <t>통과</t>
        </is>
      </c>
    </row>
    <row r="28">
      <c r="A28" s="8" t="inlineStr">
        <is>
          <t>UI-D13</t>
        </is>
      </c>
      <c r="B28" s="8" t="inlineStr">
        <is>
          <t>단일</t>
        </is>
      </c>
      <c r="C28" s="8" t="inlineStr">
        <is>
          <t>DSKY 조작</t>
        </is>
      </c>
      <c r="D28" s="11" t="inlineStr">
        <is>
          <t>로드 중 V33E로 종료, 시계 불변</t>
        </is>
      </c>
      <c r="E28" s="11" t="inlineStr">
        <is>
          <t>V25N36E +00999E까지 입력</t>
        </is>
      </c>
      <c r="F28" s="11" t="inlineStr">
        <is>
          <t>V33E 후 V06N36E</t>
        </is>
      </c>
      <c r="G28" s="11" t="inlineStr">
        <is>
          <t>오류 없음, R1은 +00000(시계 변경 안 됨)</t>
        </is>
      </c>
      <c r="H28" s="11" t="inlineStr">
        <is>
          <t>DskyOperationUiTests.LoadCanBeEndedWithV33AndLeavesClockUnchanged</t>
        </is>
      </c>
      <c r="I28" s="8">
        <f>IFERROR(INDEX('전체 테스트 결과'!$G$2:$G$301,MATCH($A28,'전체 테스트 결과'!$F$2:$F$301,0)),"미구현")</f>
        <v/>
      </c>
      <c r="J28" s="8" t="inlineStr">
        <is>
          <t>통과</t>
        </is>
      </c>
    </row>
    <row r="29">
      <c r="A29" s="9" t="inlineStr">
        <is>
          <t>UI-D14</t>
        </is>
      </c>
      <c r="B29" s="9" t="inlineStr">
        <is>
          <t>단일</t>
        </is>
      </c>
      <c r="C29" s="9" t="inlineStr">
        <is>
          <t>DSKY 조작</t>
        </is>
      </c>
      <c r="D29" s="12" t="inlineStr">
        <is>
          <t>범위를 벗어난 시계 값은 거부하고 처음부터</t>
        </is>
      </c>
      <c r="E29" s="12" t="inlineStr">
        <is>
          <t>초기 화면</t>
        </is>
      </c>
      <c r="F29" s="12" t="inlineStr">
        <is>
          <t>V25N36E +00001E +00060E +00000E, RSET, 올바른 값 재입력</t>
        </is>
      </c>
      <c r="G29" s="12" t="inlineStr">
        <is>
          <t>OPR ERR, 레지스터 비움 → 재입력 성공</t>
        </is>
      </c>
      <c r="H29" s="12" t="inlineStr">
        <is>
          <t>DskyOperationUiTests.Load_RejectsBadValuesAndRestartsFromTheFirstRegister</t>
        </is>
      </c>
      <c r="I29" s="9">
        <f>IFERROR(INDEX('전체 테스트 결과'!$G$2:$G$301,MATCH($A29,'전체 테스트 결과'!$F$2:$F$301,0)),"미구현")</f>
        <v/>
      </c>
      <c r="J29" s="9" t="inlineStr">
        <is>
          <t>통과</t>
        </is>
      </c>
    </row>
    <row r="30">
      <c r="A30" s="8" t="inlineStr">
        <is>
          <t>UI-D15</t>
        </is>
      </c>
      <c r="B30" s="8" t="inlineStr">
        <is>
          <t>단일</t>
        </is>
      </c>
      <c r="C30" s="8" t="inlineStr">
        <is>
          <t>DSKY 조작</t>
        </is>
      </c>
      <c r="D30" s="11" t="inlineStr">
        <is>
          <t>N43 착륙지점 좌표</t>
        </is>
      </c>
      <c r="E30" s="11" t="inlineStr">
        <is>
          <t>MET 102:45:40</t>
        </is>
      </c>
      <c r="F30" s="11" t="inlineStr">
        <is>
          <t>V06N43E</t>
        </is>
      </c>
      <c r="G30" s="11" t="inlineStr">
        <is>
          <t>PROG 68, 위도 +00067, 경도 +02347, 고도 +00000</t>
        </is>
      </c>
      <c r="H30" s="11" t="inlineStr">
        <is>
          <t>DskyOperationUiTests.PositionNoun_V06N43E_ShowsTranquilityBaseCoordinates</t>
        </is>
      </c>
      <c r="I30" s="8">
        <f>IFERROR(INDEX('전체 테스트 결과'!$G$2:$G$301,MATCH($A30,'전체 테스트 결과'!$F$2:$F$301,0)),"미구현")</f>
        <v/>
      </c>
      <c r="J30" s="8" t="inlineStr">
        <is>
          <t>통과</t>
        </is>
      </c>
    </row>
    <row r="31">
      <c r="A31" s="9" t="inlineStr">
        <is>
          <t>UI-D16</t>
        </is>
      </c>
      <c r="B31" s="9" t="inlineStr">
        <is>
          <t>단일</t>
        </is>
      </c>
      <c r="C31" s="9" t="inlineStr">
        <is>
          <t>DSKY 조작</t>
        </is>
      </c>
      <c r="D31" s="12" t="inlineStr">
        <is>
          <t>N63 하강 속도/고도(PDI 시점)</t>
        </is>
      </c>
      <c r="E31" s="12" t="inlineStr">
        <is>
          <t>MET 102:33:05</t>
        </is>
      </c>
      <c r="F31" s="12" t="inlineStr">
        <is>
          <t>V06N63E</t>
        </is>
      </c>
      <c r="G31" s="12" t="inlineStr">
        <is>
          <t>속도 약 5,577 ft/s, 고도 약 50,000 ft, 고도변화율 음수</t>
        </is>
      </c>
      <c r="H31" s="12" t="inlineStr">
        <is>
          <t>DskyOperationUiTests.DescentVelocityNoun_AtPdi_ShowsOrbitalEntrySpeedAndAltitude</t>
        </is>
      </c>
      <c r="I31" s="9">
        <f>IFERROR(INDEX('전체 테스트 결과'!$G$2:$G$301,MATCH($A31,'전체 테스트 결과'!$F$2:$F$301,0)),"미구현")</f>
        <v/>
      </c>
      <c r="J31" s="9" t="inlineStr">
        <is>
          <t>통과</t>
        </is>
      </c>
    </row>
    <row r="32">
      <c r="A32" s="8" t="inlineStr">
        <is>
          <t>UI-D17</t>
        </is>
      </c>
      <c r="B32" s="8" t="inlineStr">
        <is>
          <t>단일</t>
        </is>
      </c>
      <c r="C32" s="8" t="inlineStr">
        <is>
          <t>DSKY 조작</t>
        </is>
      </c>
      <c r="D32" s="11" t="inlineStr">
        <is>
          <t>N68 사거리/제동 잔여시간</t>
        </is>
      </c>
      <c r="E32" s="11" t="inlineStr">
        <is>
          <t>MET 102:33:05</t>
        </is>
      </c>
      <c r="F32" s="11" t="inlineStr">
        <is>
          <t>V06N68E</t>
        </is>
      </c>
      <c r="G32" s="11" t="inlineStr">
        <is>
          <t>사거리 240~270 nm, 잔여 +08 27, 고도차 0</t>
        </is>
      </c>
      <c r="H32" s="11" t="inlineStr">
        <is>
          <t>DskyOperationUiTests.RangeNoun_V06N68E_ShowsRangeAndBrakingTimeAtPdi</t>
        </is>
      </c>
      <c r="I32" s="8">
        <f>IFERROR(INDEX('전체 테스트 결과'!$G$2:$G$301,MATCH($A32,'전체 테스트 결과'!$F$2:$F$301,0)),"미구현")</f>
        <v/>
      </c>
      <c r="J32" s="8" t="inlineStr">
        <is>
          <t>통과</t>
        </is>
      </c>
    </row>
    <row r="33">
      <c r="A33" s="9" t="inlineStr">
        <is>
          <t>UI-D18</t>
        </is>
      </c>
      <c r="B33" s="9" t="inlineStr">
        <is>
          <t>복합</t>
        </is>
      </c>
      <c r="C33" s="9" t="inlineStr">
        <is>
          <t>DSKY 조작</t>
        </is>
      </c>
      <c r="D33" s="12" t="inlineStr">
        <is>
          <t>연속 명령 중 화면 형식 유지</t>
        </is>
      </c>
      <c r="E33" s="12" t="inlineStr">
        <is>
          <t>MET 102:40:00</t>
        </is>
      </c>
      <c r="F33" s="12" t="inlineStr">
        <is>
          <t>V35E, V16N36E, V16N43E, V16N63E, V06N68E, V05N09E, V25N36E, V37E00E, V34E 등 22개 입력 + 시간 진행</t>
        </is>
      </c>
      <c r="G33" s="12" t="inlineStr">
        <is>
          <t>매 입력마다 PROG/VERB/NOUN 2글자, R1~R3 6글자(부호+숫자)</t>
        </is>
      </c>
      <c r="H33" s="12" t="inlineStr">
        <is>
          <t>DskyOperationUiTests.EveryCommandKeepsTheDisplayWellFormed</t>
        </is>
      </c>
      <c r="I33" s="9">
        <f>IFERROR(INDEX('전체 테스트 결과'!$G$2:$G$301,MATCH($A33,'전체 테스트 결과'!$F$2:$F$301,0)),"미구현")</f>
        <v/>
      </c>
      <c r="J33" s="9" t="inlineStr">
        <is>
          <t>통과</t>
        </is>
      </c>
    </row>
    <row r="34">
      <c r="A34" s="8" t="inlineStr">
        <is>
          <t>UI-S01</t>
        </is>
      </c>
      <c r="B34" s="8" t="inlineStr">
        <is>
          <t>단일</t>
        </is>
      </c>
      <c r="C34" s="8" t="inlineStr">
        <is>
          <t>미션 컨트롤</t>
        </is>
      </c>
      <c r="D34" s="11" t="inlineStr">
        <is>
          <t>초기 상태</t>
        </is>
      </c>
      <c r="E34" s="11" t="inlineStr">
        <is>
          <t>창 생성</t>
        </is>
      </c>
      <c r="F34" s="11" t="inlineStr">
        <is>
          <t>화면을 읽는다</t>
        </is>
      </c>
      <c r="G34" s="11" t="inlineStr">
        <is>
          <t>정지 상태, '▶ 재생', MET 0, 첫 단계 선택, 배속 60×, 단계 목록 수 = 키프레임 수</t>
        </is>
      </c>
      <c r="H34" s="11" t="inlineStr">
        <is>
          <t>MissionControlUiTests.InitialState_IsPausedAtLiftoffWithDefaultSpeed</t>
        </is>
      </c>
      <c r="I34" s="8">
        <f>IFERROR(INDEX('전체 테스트 결과'!$G$2:$G$301,MATCH($A34,'전체 테스트 결과'!$F$2:$F$301,0)),"미구현")</f>
        <v/>
      </c>
      <c r="J34" s="8" t="inlineStr">
        <is>
          <t>통과</t>
        </is>
      </c>
    </row>
    <row r="35">
      <c r="A35" s="9" t="inlineStr">
        <is>
          <t>UI-S02</t>
        </is>
      </c>
      <c r="B35" s="9" t="inlineStr">
        <is>
          <t>단일</t>
        </is>
      </c>
      <c r="C35" s="9" t="inlineStr">
        <is>
          <t>미션 컨트롤</t>
        </is>
      </c>
      <c r="D35" s="12" t="inlineStr">
        <is>
          <t>재생/일시정지 토글</t>
        </is>
      </c>
      <c r="E35" s="12" t="inlineStr">
        <is>
          <t>초기 상태</t>
        </is>
      </c>
      <c r="F35" s="12" t="inlineStr">
        <is>
          <t>▶ → 1초 → ⏸ → 2초</t>
        </is>
      </c>
      <c r="G35" s="12" t="inlineStr">
        <is>
          <t>버튼 문구 전환, 60배속 1초에 000:01:00, 일시정지 중 시간 불변</t>
        </is>
      </c>
      <c r="H35" s="12" t="inlineStr">
        <is>
          <t>MissionControlUiTests.PlayAndPause_ToggleTheButtonAndTheClock</t>
        </is>
      </c>
      <c r="I35" s="9">
        <f>IFERROR(INDEX('전체 테스트 결과'!$G$2:$G$301,MATCH($A35,'전체 테스트 결과'!$F$2:$F$301,0)),"미구현")</f>
        <v/>
      </c>
      <c r="J35" s="9" t="inlineStr">
        <is>
          <t>통과</t>
        </is>
      </c>
    </row>
    <row r="36">
      <c r="A36" s="8" t="inlineStr">
        <is>
          <t>UI-S03</t>
        </is>
      </c>
      <c r="B36" s="8" t="inlineStr">
        <is>
          <t>단일</t>
        </is>
      </c>
      <c r="C36" s="8" t="inlineStr">
        <is>
          <t>미션 컨트롤</t>
        </is>
      </c>
      <c r="D36" s="11" t="inlineStr">
        <is>
          <t>배속 1/10/60/600/3600</t>
        </is>
      </c>
      <c r="E36" s="11" t="inlineStr">
        <is>
          <t>초기 상태</t>
        </is>
      </c>
      <c r="F36" s="11" t="inlineStr">
        <is>
          <t>각 배속으로 0에서 1초 재생</t>
        </is>
      </c>
      <c r="G36" s="11" t="inlineStr">
        <is>
          <t>미션 시간이 각각 1/10/60/600/3600초</t>
        </is>
      </c>
      <c r="H36" s="11" t="inlineStr">
        <is>
          <t>MissionControlUiTests.EverySpeedOption_AdvancesMissionByThatManySecondsPerRealSecond</t>
        </is>
      </c>
      <c r="I36" s="8">
        <f>IFERROR(INDEX('전체 테스트 결과'!$G$2:$G$301,MATCH($A36,'전체 테스트 결과'!$F$2:$F$301,0)),"미구현")</f>
        <v/>
      </c>
      <c r="J36" s="8" t="inlineStr">
        <is>
          <t>통과</t>
        </is>
      </c>
    </row>
    <row r="37">
      <c r="A37" s="9" t="inlineStr">
        <is>
          <t>UI-S04</t>
        </is>
      </c>
      <c r="B37" s="9" t="inlineStr">
        <is>
          <t>단일</t>
        </is>
      </c>
      <c r="C37" s="9" t="inlineStr">
        <is>
          <t>미션 컨트롤</t>
        </is>
      </c>
      <c r="D37" s="12" t="inlineStr">
        <is>
          <t>재생 중 배속 변경 즉시 반영</t>
        </is>
      </c>
      <c r="E37" s="12" t="inlineStr">
        <is>
          <t>100:00:00에서 재생</t>
        </is>
      </c>
      <c r="F37" s="12" t="inlineStr">
        <is>
          <t>2초 진행 후 600×로 변경, 1초 진행</t>
        </is>
      </c>
      <c r="G37" s="12" t="inlineStr">
        <is>
          <t>120초 뒤 600초가 더해진다</t>
        </is>
      </c>
      <c r="H37" s="12" t="inlineStr">
        <is>
          <t>MissionControlUiTests.SpeedChange_WhilePlaying_TakesEffectImmediately</t>
        </is>
      </c>
      <c r="I37" s="9">
        <f>IFERROR(INDEX('전체 테스트 결과'!$G$2:$G$301,MATCH($A37,'전체 테스트 결과'!$F$2:$F$301,0)),"미구현")</f>
        <v/>
      </c>
      <c r="J37" s="9" t="inlineStr">
        <is>
          <t>통과</t>
        </is>
      </c>
    </row>
    <row r="38">
      <c r="A38" s="8" t="inlineStr">
        <is>
          <t>UI-S05</t>
        </is>
      </c>
      <c r="B38" s="8" t="inlineStr">
        <is>
          <t>단일</t>
        </is>
      </c>
      <c r="C38" s="8" t="inlineStr">
        <is>
          <t>미션 컨트롤</t>
        </is>
      </c>
      <c r="D38" s="11" t="inlineStr">
        <is>
          <t>슬라이더로 이동</t>
        </is>
      </c>
      <c r="E38" s="11" t="inlineStr">
        <is>
          <t>초기 상태</t>
        </is>
      </c>
      <c r="F38" s="11" t="inlineStr">
        <is>
          <t>슬라이더를 102:33:05로 이동</t>
        </is>
      </c>
      <c r="G38" s="11" t="inlineStr">
        <is>
          <t>MET, 단계명(P63 동력 하강 시작), 설명, 기준 달, PROG 63</t>
        </is>
      </c>
      <c r="H38" s="11" t="inlineStr">
        <is>
          <t>MissionControlUiTests.Slider_SeekShowsMetPhaseAndDescription</t>
        </is>
      </c>
      <c r="I38" s="8">
        <f>IFERROR(INDEX('전체 테스트 결과'!$G$2:$G$301,MATCH($A38,'전체 테스트 결과'!$F$2:$F$301,0)),"미구현")</f>
        <v/>
      </c>
      <c r="J38" s="8" t="inlineStr">
        <is>
          <t>통과</t>
        </is>
      </c>
    </row>
    <row r="39">
      <c r="A39" s="9" t="inlineStr">
        <is>
          <t>UI-S06</t>
        </is>
      </c>
      <c r="B39" s="9" t="inlineStr">
        <is>
          <t>단일</t>
        </is>
      </c>
      <c r="C39" s="9" t="inlineStr">
        <is>
          <t>미션 컨트롤</t>
        </is>
      </c>
      <c r="D39" s="12" t="inlineStr">
        <is>
          <t>슬라이더 범위</t>
        </is>
      </c>
      <c r="E39" s="12" t="inlineStr">
        <is>
          <t>초기 상태</t>
        </is>
      </c>
      <c r="F39" s="12" t="inlineStr">
        <is>
          <t>범위를 읽고 아주 큰 값으로 이동</t>
        </is>
      </c>
      <c r="G39" s="12" t="inlineStr">
        <is>
          <t>최대 195:18:35, 범위를 넘으면 끝(착수)으로 제한</t>
        </is>
      </c>
      <c r="H39" s="12" t="inlineStr">
        <is>
          <t>MissionControlUiTests.Slider_RangeCoversTheWholeMission</t>
        </is>
      </c>
      <c r="I39" s="9">
        <f>IFERROR(INDEX('전체 테스트 결과'!$G$2:$G$301,MATCH($A39,'전체 테스트 결과'!$F$2:$F$301,0)),"미구현")</f>
        <v/>
      </c>
      <c r="J39" s="9" t="inlineStr">
        <is>
          <t>통과</t>
        </is>
      </c>
    </row>
    <row r="40">
      <c r="A40" s="8" t="inlineStr">
        <is>
          <t>UI-S07</t>
        </is>
      </c>
      <c r="B40" s="8" t="inlineStr">
        <is>
          <t>복합</t>
        </is>
      </c>
      <c r="C40" s="8" t="inlineStr">
        <is>
          <t>미션 컨트롤</t>
        </is>
      </c>
      <c r="D40" s="11" t="inlineStr">
        <is>
          <t>모든 단계로 이동</t>
        </is>
      </c>
      <c r="E40" s="11" t="inlineStr">
        <is>
          <t>초기 상태</t>
        </is>
      </c>
      <c r="F40" s="11" t="inlineStr">
        <is>
          <t>단계 목록의 모든 항목을 차례로 선택</t>
        </is>
      </c>
      <c r="G40" s="11" t="inlineStr">
        <is>
          <t>각 단계의 시작 MET, 단계명, 프로그램 번호, 설명, 목록 선택, PROG 창이 일치</t>
        </is>
      </c>
      <c r="H40" s="11" t="inlineStr">
        <is>
          <t>MissionControlUiTests.PhaseJump_EveryPhase_ShowsItsStartTimeNameProgramAndDescription</t>
        </is>
      </c>
      <c r="I40" s="8">
        <f>IFERROR(INDEX('전체 테스트 결과'!$G$2:$G$301,MATCH($A40,'전체 테스트 결과'!$F$2:$F$301,0)),"미구현")</f>
        <v/>
      </c>
      <c r="J40" s="8" t="inlineStr">
        <is>
          <t>통과</t>
        </is>
      </c>
    </row>
    <row r="41">
      <c r="A41" s="9" t="inlineStr">
        <is>
          <t>UI-S08</t>
        </is>
      </c>
      <c r="B41" s="9" t="inlineStr">
        <is>
          <t>단일</t>
        </is>
      </c>
      <c r="C41" s="9" t="inlineStr">
        <is>
          <t>미션 컨트롤</t>
        </is>
      </c>
      <c r="D41" s="12" t="inlineStr">
        <is>
          <t>미션 끝에서 자동 정지</t>
        </is>
      </c>
      <c r="E41" s="12" t="inlineStr">
        <is>
          <t>194:00:00, 3600×</t>
        </is>
      </c>
      <c r="F41" s="12" t="inlineStr">
        <is>
          <t>재생하고 끝까지 진행</t>
        </is>
      </c>
      <c r="G41" s="12" t="inlineStr">
        <is>
          <t>자동 정지, MET 195:18:35, '▶ 재생', 착수 단계, PROG 00</t>
        </is>
      </c>
      <c r="H41" s="12" t="inlineStr">
        <is>
          <t>MissionControlUiTests.MissionEnd_StopsPlaybackAutomatically</t>
        </is>
      </c>
      <c r="I41" s="9">
        <f>IFERROR(INDEX('전체 테스트 결과'!$G$2:$G$301,MATCH($A41,'전체 테스트 결과'!$F$2:$F$301,0)),"미구현")</f>
        <v/>
      </c>
      <c r="J41" s="9" t="inlineStr">
        <is>
          <t>통과</t>
        </is>
      </c>
    </row>
    <row r="42">
      <c r="A42" s="8" t="inlineStr">
        <is>
          <t>UI-S09</t>
        </is>
      </c>
      <c r="B42" s="8" t="inlineStr">
        <is>
          <t>단일</t>
        </is>
      </c>
      <c r="C42" s="8" t="inlineStr">
        <is>
          <t>미션 컨트롤</t>
        </is>
      </c>
      <c r="D42" s="11" t="inlineStr">
        <is>
          <t>텔레메트리 표시(발사 / PDI)</t>
        </is>
      </c>
      <c r="E42" s="11" t="inlineStr">
        <is>
          <t>초기 상태</t>
        </is>
      </c>
      <c r="F42" s="11" t="inlineStr">
        <is>
          <t>발사 시점과 PDI 시점의 텍스트를 읽는다</t>
        </is>
      </c>
      <c r="G42" s="11" t="inlineStr">
        <is>
          <t>지구 28.60°,-80.60°, 상승 +수직속도 / 달 15 km, 1,700 m/s, 하강 -수직속도</t>
        </is>
      </c>
      <c r="H42" s="11" t="inlineStr">
        <is>
          <t>MissionControlUiTests.Telemetry_AtLiftoffAndAtPdi_ShowsExpectedTexts</t>
        </is>
      </c>
      <c r="I42" s="8">
        <f>IFERROR(INDEX('전체 테스트 결과'!$G$2:$G$301,MATCH($A42,'전체 테스트 결과'!$F$2:$F$301,0)),"미구현")</f>
        <v/>
      </c>
      <c r="J42" s="8" t="inlineStr">
        <is>
          <t>통과</t>
        </is>
      </c>
    </row>
    <row r="43">
      <c r="A43" s="9" t="inlineStr">
        <is>
          <t>UI-S10</t>
        </is>
      </c>
      <c r="B43" s="9" t="inlineStr">
        <is>
          <t>단일</t>
        </is>
      </c>
      <c r="C43" s="9" t="inlineStr">
        <is>
          <t>미션 컨트롤</t>
        </is>
      </c>
      <c r="D43" s="12" t="inlineStr">
        <is>
          <t>기준 천체 전환</t>
        </is>
      </c>
      <c r="E43" s="12" t="inlineStr">
        <is>
          <t>초기 상태</t>
        </is>
      </c>
      <c r="F43" s="12" t="inlineStr">
        <is>
          <t>61:39:49 → 61:39:50로 이동</t>
        </is>
      </c>
      <c r="G43" s="12" t="inlineStr">
        <is>
          <t>'기준: 지구' → '기준: 달'</t>
        </is>
      </c>
      <c r="H43" s="12" t="inlineStr">
        <is>
          <t>MissionControlUiTests.ReferenceBody_SwitchesToMoonAtLunarSphereEntry</t>
        </is>
      </c>
      <c r="I43" s="9">
        <f>IFERROR(INDEX('전체 테스트 결과'!$G$2:$G$301,MATCH($A43,'전체 테스트 결과'!$F$2:$F$301,0)),"미구현")</f>
        <v/>
      </c>
      <c r="J43" s="9" t="inlineStr">
        <is>
          <t>통과</t>
        </is>
      </c>
    </row>
    <row r="44">
      <c r="A44" s="8" t="inlineStr">
        <is>
          <t>UI-S11</t>
        </is>
      </c>
      <c r="B44" s="8" t="inlineStr">
        <is>
          <t>단일</t>
        </is>
      </c>
      <c r="C44" s="8" t="inlineStr">
        <is>
          <t>미션 컨트롤</t>
        </is>
      </c>
      <c r="D44" s="11" t="inlineStr">
        <is>
          <t>착륙 지점 표시</t>
        </is>
      </c>
      <c r="E44" s="11" t="inlineStr">
        <is>
          <t>초기 상태</t>
        </is>
      </c>
      <c r="F44" s="11" t="inlineStr">
        <is>
          <t>102:45:40으로 이동</t>
        </is>
      </c>
      <c r="G44" s="11" t="inlineStr">
        <is>
          <t>위치 0.67°, 23.47°, 고도 0 m, 속도 0, PROG 68</t>
        </is>
      </c>
      <c r="H44" s="11" t="inlineStr">
        <is>
          <t>MissionControlUiTests.LandingSite_ShowsTranquilityCoordinatesOnTheGround</t>
        </is>
      </c>
      <c r="I44" s="8">
        <f>IFERROR(INDEX('전체 테스트 결과'!$G$2:$G$301,MATCH($A44,'전체 테스트 결과'!$F$2:$F$301,0)),"미구현")</f>
        <v/>
      </c>
      <c r="J44" s="8" t="inlineStr">
        <is>
          <t>통과</t>
        </is>
      </c>
    </row>
    <row r="45">
      <c r="A45" s="9" t="inlineStr">
        <is>
          <t>UI-S12</t>
        </is>
      </c>
      <c r="B45" s="9" t="inlineStr">
        <is>
          <t>복합</t>
        </is>
      </c>
      <c r="C45" s="9" t="inlineStr">
        <is>
          <t>미션 컨트롤</t>
        </is>
      </c>
      <c r="D45" s="12" t="inlineStr">
        <is>
          <t>재생 중 슬라이더 추종 및 이동 후 이어서 진행</t>
        </is>
      </c>
      <c r="E45" s="12" t="inlineStr">
        <is>
          <t>초기 상태</t>
        </is>
      </c>
      <c r="F45" s="12" t="inlineStr">
        <is>
          <t>재생 1초 → 슬라이더를 10:00:00으로 → 재생 1초</t>
        </is>
      </c>
      <c r="G45" s="12" t="inlineStr">
        <is>
          <t>60초, 그 뒤 10:01:00에서 이어서 진행, 재생 유지</t>
        </is>
      </c>
      <c r="H45" s="12" t="inlineStr">
        <is>
          <t>MissionControlUiTests.Slider_FollowsPlaybackAndSeekFromTheSliderContinuesFromThere</t>
        </is>
      </c>
      <c r="I45" s="9">
        <f>IFERROR(INDEX('전체 테스트 결과'!$G$2:$G$301,MATCH($A45,'전체 테스트 결과'!$F$2:$F$301,0)),"미구현")</f>
        <v/>
      </c>
      <c r="J45" s="9" t="inlineStr">
        <is>
          <t>통과</t>
        </is>
      </c>
    </row>
    <row r="46">
      <c r="A46" s="8" t="inlineStr">
        <is>
          <t>UI-S13</t>
        </is>
      </c>
      <c r="B46" s="8" t="inlineStr">
        <is>
          <t>복합</t>
        </is>
      </c>
      <c r="C46" s="8" t="inlineStr">
        <is>
          <t>미션 컨트롤</t>
        </is>
      </c>
      <c r="D46" s="11" t="inlineStr">
        <is>
          <t>재생 중 단계 경계를 넘을 때 목록 추종</t>
        </is>
      </c>
      <c r="E46" s="11" t="inlineStr">
        <is>
          <t>0:02:00에서 60× 재생</t>
        </is>
      </c>
      <c r="F46" s="11" t="inlineStr">
        <is>
          <t>0:02:42를 넘을 때까지 진행</t>
        </is>
      </c>
      <c r="G46" s="11" t="inlineStr">
        <is>
          <t>단계 목록이 '1단 분리'로 넘어가고 단계명 표시</t>
        </is>
      </c>
      <c r="H46" s="11" t="inlineStr">
        <is>
          <t>MissionControlUiTests.PhaseBox_FollowsPlaybackAcrossPhaseBoundaries</t>
        </is>
      </c>
      <c r="I46" s="8">
        <f>IFERROR(INDEX('전체 테스트 결과'!$G$2:$G$301,MATCH($A46,'전체 테스트 결과'!$F$2:$F$301,0)),"미구현")</f>
        <v/>
      </c>
      <c r="J46" s="8" t="inlineStr">
        <is>
          <t>통과</t>
        </is>
      </c>
    </row>
    <row r="47">
      <c r="A47" s="9" t="inlineStr">
        <is>
          <t>UI-S14</t>
        </is>
      </c>
      <c r="B47" s="9" t="inlineStr">
        <is>
          <t>복합</t>
        </is>
      </c>
      <c r="C47" s="9" t="inlineStr">
        <is>
          <t>미션 컨트롤</t>
        </is>
      </c>
      <c r="D47" s="12" t="inlineStr">
        <is>
          <t>재생 중 알람은 PROG 램프, Seek는 알람 미발생</t>
        </is>
      </c>
      <c r="E47" s="12" t="inlineStr">
        <is>
          <t>-</t>
        </is>
      </c>
      <c r="F47" s="12" t="inlineStr">
        <is>
          <t>102:50:00으로 이동 확인 → 102:38:00에서 재생</t>
        </is>
      </c>
      <c r="G47" s="12" t="inlineStr">
        <is>
          <t>이동만으로는 PROG 꺼짐, 재생 중 102:38:26경 PROG 점등</t>
        </is>
      </c>
      <c r="H47" s="12" t="inlineStr">
        <is>
          <t>MissionControlUiTests.Alarm_WhilePlaying_LightsProgLampButSeekDoesNot</t>
        </is>
      </c>
      <c r="I47" s="9">
        <f>IFERROR(INDEX('전체 테스트 결과'!$G$2:$G$301,MATCH($A47,'전체 테스트 결과'!$F$2:$F$301,0)),"미구현")</f>
        <v/>
      </c>
      <c r="J47" s="9" t="inlineStr">
        <is>
          <t>통과</t>
        </is>
      </c>
    </row>
    <row r="48">
      <c r="A48" s="8" t="inlineStr">
        <is>
          <t>UI-S15</t>
        </is>
      </c>
      <c r="B48" s="8" t="inlineStr">
        <is>
          <t>단일</t>
        </is>
      </c>
      <c r="C48" s="8" t="inlineStr">
        <is>
          <t>미션 컨트롤</t>
        </is>
      </c>
      <c r="D48" s="11" t="inlineStr">
        <is>
          <t>도식의 천체 색 전환</t>
        </is>
      </c>
      <c r="E48" s="11" t="inlineStr">
        <is>
          <t>도식 레이아웃 확정</t>
        </is>
      </c>
      <c r="F48" s="11" t="inlineStr">
        <is>
          <t>지구 단계 → 달 단계로 이동</t>
        </is>
      </c>
      <c r="G48" s="11" t="inlineStr">
        <is>
          <t>지구(파랑)와 달(회색) 색이 다르다</t>
        </is>
      </c>
      <c r="H48" s="11" t="inlineStr">
        <is>
          <t>MissionControlUiTests.Illustration_ShowsTheSceneOfTheCurrentPhase_AndItsCaptionChanges</t>
        </is>
      </c>
      <c r="I48" s="8">
        <f>IFERROR(INDEX('전체 테스트 결과'!$G$2:$G$301,MATCH($A48,'전체 테스트 결과'!$F$2:$F$301,0)),"미구현")</f>
        <v/>
      </c>
      <c r="J48" s="8" t="inlineStr">
        <is>
          <t>통과</t>
        </is>
      </c>
    </row>
    <row r="49">
      <c r="A49" s="9" t="inlineStr">
        <is>
          <t>UI-S16</t>
        </is>
      </c>
      <c r="B49" s="9" t="inlineStr">
        <is>
          <t>복합</t>
        </is>
      </c>
      <c r="C49" s="9" t="inlineStr">
        <is>
          <t>미션 컨트롤</t>
        </is>
      </c>
      <c r="D49" s="12" t="inlineStr">
        <is>
          <t>모든 단계의 설명·텔레메트리 표시가 채워짐</t>
        </is>
      </c>
      <c r="E49" s="12" t="inlineStr">
        <is>
          <t>초기 상태</t>
        </is>
      </c>
      <c r="F49" s="12" t="inlineStr">
        <is>
          <t>모든 단계를 차례로 선택</t>
        </is>
      </c>
      <c r="G49" s="12" t="inlineStr">
        <is>
          <t>설명/고도/위치 텍스트가 비어 있지 않다</t>
        </is>
      </c>
      <c r="H49" s="12" t="inlineStr">
        <is>
          <t>MissionControlUiTests.PhaseDescriptions_AreFilledForEveryPhase</t>
        </is>
      </c>
      <c r="I49" s="9">
        <f>IFERROR(INDEX('전체 테스트 결과'!$G$2:$G$301,MATCH($A49,'전체 테스트 결과'!$F$2:$F$301,0)),"미구현")</f>
        <v/>
      </c>
      <c r="J49" s="9" t="inlineStr">
        <is>
          <t>통과</t>
        </is>
      </c>
    </row>
    <row r="50">
      <c r="A50" s="8" t="inlineStr">
        <is>
          <t>UI-C01</t>
        </is>
      </c>
      <c r="B50" s="8" t="inlineStr">
        <is>
          <t>복합</t>
        </is>
      </c>
      <c r="C50" s="8" t="inlineStr">
        <is>
          <t>복합 시나리오</t>
        </is>
      </c>
      <c r="D50" s="11" t="inlineStr">
        <is>
          <t>하강 전 과정(P63→P64→P66→P68) 감시</t>
        </is>
      </c>
      <c r="E50" s="11" t="inlineStr">
        <is>
          <t>PDI에서 V16N63E, 60× 재생</t>
        </is>
      </c>
      <c r="F50" s="11" t="inlineStr">
        <is>
          <t>착륙까지 0.2초 단위로 진행하며 PROG·R3·알람 램프를 기록, 알람마다 RSET</t>
        </is>
      </c>
      <c r="G50" s="11" t="inlineStr">
        <is>
          <t>프로그램 순서 63→64→66→68, 알람 5회 감지, 계산 고도 단조 감소, 착륙 시 +00000</t>
        </is>
      </c>
      <c r="H50" s="11" t="inlineStr">
        <is>
          <t>CompositeScenarioUiTests.FullDescent_P63ToP68_MonitorAltitudeProgramsAndFiveAlarms</t>
        </is>
      </c>
      <c r="I50" s="8">
        <f>IFERROR(INDEX('전체 테스트 결과'!$G$2:$G$301,MATCH($A50,'전체 테스트 결과'!$F$2:$F$301,0)),"미구현")</f>
        <v/>
      </c>
      <c r="J50" s="8" t="inlineStr">
        <is>
          <t>통과</t>
        </is>
      </c>
    </row>
    <row r="51">
      <c r="A51" s="9" t="inlineStr">
        <is>
          <t>UI-C02</t>
        </is>
      </c>
      <c r="B51" s="9" t="inlineStr">
        <is>
          <t>복합</t>
        </is>
      </c>
      <c r="C51" s="9" t="inlineStr">
        <is>
          <t>복합 시나리오</t>
        </is>
      </c>
      <c r="D51" s="12" t="inlineStr">
        <is>
          <t>알람 읽기·해제·누적</t>
        </is>
      </c>
      <c r="E51" s="12" t="inlineStr">
        <is>
          <t>102:38:00에서 재생</t>
        </is>
      </c>
      <c r="F51" s="12" t="inlineStr">
        <is>
          <t>첫 알람 → V05N09E → RSET → 다음 알람들 → 1201 도달 → 마지막까지</t>
        </is>
      </c>
      <c r="G51" s="12" t="inlineStr">
        <is>
          <t>코드는 8진 표시(1202), RSET은 램프만 끄고 코드 유지, 3개 보관(1202,1202,1201)</t>
        </is>
      </c>
      <c r="H51" s="12" t="inlineStr">
        <is>
          <t>CompositeScenarioUiTests.AlarmReadAndClear_V05N09E_ThenRsetThenNextAlarmsAccumulate</t>
        </is>
      </c>
      <c r="I51" s="9">
        <f>IFERROR(INDEX('전체 테스트 결과'!$G$2:$G$301,MATCH($A51,'전체 테스트 결과'!$F$2:$F$301,0)),"미구현")</f>
        <v/>
      </c>
      <c r="J51" s="9" t="inlineStr">
        <is>
          <t>통과</t>
        </is>
      </c>
    </row>
    <row r="52">
      <c r="A52" s="8" t="inlineStr">
        <is>
          <t>UI-C03</t>
        </is>
      </c>
      <c r="B52" s="8" t="inlineStr">
        <is>
          <t>복합</t>
        </is>
      </c>
      <c r="C52" s="8" t="inlineStr">
        <is>
          <t>복합 시나리오</t>
        </is>
      </c>
      <c r="D52" s="11" t="inlineStr">
        <is>
          <t>V37 프로그램 선택이 다음 단계에서 대체</t>
        </is>
      </c>
      <c r="E52" s="11" t="inlineStr">
        <is>
          <t>PDI</t>
        </is>
      </c>
      <c r="F52" s="11" t="inlineStr">
        <is>
          <t>V37E00E → 재생</t>
        </is>
      </c>
      <c r="G52" s="11" t="inlineStr">
        <is>
          <t>PROG 00 유지 → 102:41:32에 64로 변경</t>
        </is>
      </c>
      <c r="H52" s="11" t="inlineStr">
        <is>
          <t>CompositeScenarioUiTests.ProgramOverride_V37E00E_RevertsAtNextMissionPhase</t>
        </is>
      </c>
      <c r="I52" s="8">
        <f>IFERROR(INDEX('전체 테스트 결과'!$G$2:$G$301,MATCH($A52,'전체 테스트 결과'!$F$2:$F$301,0)),"미구현")</f>
        <v/>
      </c>
      <c r="J52" s="8" t="inlineStr">
        <is>
          <t>통과</t>
        </is>
      </c>
    </row>
    <row r="53">
      <c r="A53" s="9" t="inlineStr">
        <is>
          <t>UI-C04</t>
        </is>
      </c>
      <c r="B53" s="9" t="inlineStr">
        <is>
          <t>복합</t>
        </is>
      </c>
      <c r="C53" s="9" t="inlineStr">
        <is>
          <t>복합 시나리오</t>
        </is>
      </c>
      <c r="D53" s="12" t="inlineStr">
        <is>
          <t>시계 로드 후 재생해도 로드값에서 이어서 진행</t>
        </is>
      </c>
      <c r="E53" s="12" t="inlineStr">
        <is>
          <t>초기 상태</t>
        </is>
      </c>
      <c r="F53" s="12" t="inlineStr">
        <is>
          <t>V25N36E +00200 +00000 +00000 → V16N36E → 10초 재생</t>
        </is>
      </c>
      <c r="G53" s="12" t="inlineStr">
        <is>
          <t>시 +00200, 분 +00010(60배속 10분), 미션 시간은 000:10:00</t>
        </is>
      </c>
      <c r="H53" s="12" t="inlineStr">
        <is>
          <t>CompositeScenarioUiTests.ClockLoad_ThenRunning_ClockKeepsAdvancingFromLoadedValue</t>
        </is>
      </c>
      <c r="I53" s="9">
        <f>IFERROR(INDEX('전체 테스트 결과'!$G$2:$G$301,MATCH($A53,'전체 테스트 결과'!$F$2:$F$301,0)),"미구현")</f>
        <v/>
      </c>
      <c r="J53" s="9" t="inlineStr">
        <is>
          <t>통과</t>
        </is>
      </c>
    </row>
    <row r="54">
      <c r="A54" s="8" t="inlineStr">
        <is>
          <t>UI-C05</t>
        </is>
      </c>
      <c r="B54" s="8" t="inlineStr">
        <is>
          <t>복합</t>
        </is>
      </c>
      <c r="C54" s="8" t="inlineStr">
        <is>
          <t>복합 시나리오</t>
        </is>
      </c>
      <c r="D54" s="11" t="inlineStr">
        <is>
          <t>모니터 중 Seek</t>
        </is>
      </c>
      <c r="E54" s="11" t="inlineStr">
        <is>
          <t>PDI에서 V16N63E</t>
        </is>
      </c>
      <c r="F54" s="11" t="inlineStr">
        <is>
          <t>착륙 시점으로 이동 → 1초 → PDI로 복귀</t>
        </is>
      </c>
      <c r="G54" s="11" t="inlineStr">
        <is>
          <t>착륙 시 속도·고도 0, 복귀하면 처음 값과 같다</t>
        </is>
      </c>
      <c r="H54" s="11" t="inlineStr">
        <is>
          <t>CompositeScenarioUiTests.MonitorFollowsSeek_ToTouchdownAndBack</t>
        </is>
      </c>
      <c r="I54" s="8">
        <f>IFERROR(INDEX('전체 테스트 결과'!$G$2:$G$301,MATCH($A54,'전체 테스트 결과'!$F$2:$F$301,0)),"미구현")</f>
        <v/>
      </c>
      <c r="J54" s="8" t="inlineStr">
        <is>
          <t>통과</t>
        </is>
      </c>
    </row>
    <row r="55">
      <c r="A55" s="9" t="inlineStr">
        <is>
          <t>UI-C06</t>
        </is>
      </c>
      <c r="B55" s="9" t="inlineStr">
        <is>
          <t>복합</t>
        </is>
      </c>
      <c r="C55" s="9" t="inlineStr">
        <is>
          <t>복합 시나리오</t>
        </is>
      </c>
      <c r="D55" s="12" t="inlineStr">
        <is>
          <t>재생 중 램프 테스트와 대기 중인 표시 요청</t>
        </is>
      </c>
      <c r="E55" s="12" t="inlineStr">
        <is>
          <t>102:30:00에서 재생</t>
        </is>
      </c>
      <c r="F55" s="12" t="inlineStr">
        <is>
          <t>V35E → (테스트 중) V16N36E 시도 → 5.2초(PDI 통과) → KEY REL</t>
        </is>
      </c>
      <c r="G55" s="12" t="inlineStr">
        <is>
          <t>테스트 중 키 무시, 그 동안 미션은 계속 진행, 종료 후 KEY REL만 점등(N63 요청 대기), KEY REL로 N63 표시, 이후 명령 가능</t>
        </is>
      </c>
      <c r="H55" s="12" t="inlineStr">
        <is>
          <t>CompositeScenarioUiTests.LampTestWhileMissionRuns_IgnoresKeysThenResumes</t>
        </is>
      </c>
      <c r="I55" s="9">
        <f>IFERROR(INDEX('전체 테스트 결과'!$G$2:$G$301,MATCH($A55,'전체 테스트 결과'!$F$2:$F$301,0)),"미구현")</f>
        <v/>
      </c>
      <c r="J55" s="9" t="inlineStr">
        <is>
          <t>통과</t>
        </is>
      </c>
    </row>
    <row r="56">
      <c r="A56" s="8" t="inlineStr">
        <is>
          <t>UI-C07</t>
        </is>
      </c>
      <c r="B56" s="8" t="inlineStr">
        <is>
          <t>복합</t>
        </is>
      </c>
      <c r="C56" s="8" t="inlineStr">
        <is>
          <t>복합 시나리오</t>
        </is>
      </c>
      <c r="D56" s="11" t="inlineStr">
        <is>
          <t>재생 중 데이터 로드</t>
        </is>
      </c>
      <c r="E56" s="11" t="inlineStr">
        <is>
          <t>100:00:00에서 재생</t>
        </is>
      </c>
      <c r="F56" s="11" t="inlineStr">
        <is>
          <t>V25N36E +00001E → 3초 → +00002E → 2초 → +00003E → V06N36E</t>
        </is>
      </c>
      <c r="G56" s="11" t="inlineStr">
        <is>
          <t>로드 완료, R1 +00001, R2 +00002, 재생 유지</t>
        </is>
      </c>
      <c r="H56" s="11" t="inlineStr">
        <is>
          <t>CompositeScenarioUiTests.LoadInProgress_WhileMissionRuns_StillCompletes</t>
        </is>
      </c>
      <c r="I56" s="8">
        <f>IFERROR(INDEX('전체 테스트 결과'!$G$2:$G$301,MATCH($A56,'전체 테스트 결과'!$F$2:$F$301,0)),"미구현")</f>
        <v/>
      </c>
      <c r="J56" s="8" t="inlineStr">
        <is>
          <t>통과</t>
        </is>
      </c>
    </row>
    <row r="57">
      <c r="A57" s="9" t="inlineStr">
        <is>
          <t>UI-C08</t>
        </is>
      </c>
      <c r="B57" s="9" t="inlineStr">
        <is>
          <t>복합</t>
        </is>
      </c>
      <c r="C57" s="9" t="inlineStr">
        <is>
          <t>복합 시나리오</t>
        </is>
      </c>
      <c r="D57" s="12" t="inlineStr">
        <is>
          <t>전 미션 3600× 완주</t>
        </is>
      </c>
      <c r="E57" s="12" t="inlineStr">
        <is>
          <t>초기 상태, V16N36E</t>
        </is>
      </c>
      <c r="F57" s="12" t="inlineStr">
        <is>
          <t>끝까지 재생하며 매 스텝 형식·시간 단조성 확인</t>
        </is>
      </c>
      <c r="G57" s="12" t="inlineStr">
        <is>
          <t>끝에서 정지, 주요 프로그램(11,00,40,68) 방문, 마지막 알람 3개 1202,1202,1201</t>
        </is>
      </c>
      <c r="H57" s="12" t="inlineStr">
        <is>
          <t>CompositeScenarioUiTests.WholeMissionAt3600x_VisitsMajorProgramsAndKeepsLastThreeAlarms</t>
        </is>
      </c>
      <c r="I57" s="9">
        <f>IFERROR(INDEX('전체 테스트 결과'!$G$2:$G$301,MATCH($A57,'전체 테스트 결과'!$F$2:$F$301,0)),"미구현")</f>
        <v/>
      </c>
      <c r="J57" s="9" t="inlineStr">
        <is>
          <t>통과</t>
        </is>
      </c>
    </row>
    <row r="58">
      <c r="A58" s="8" t="inlineStr">
        <is>
          <t>UI-C09</t>
        </is>
      </c>
      <c r="B58" s="8" t="inlineStr">
        <is>
          <t>복합</t>
        </is>
      </c>
      <c r="C58" s="8" t="inlineStr">
        <is>
          <t>복합 시나리오</t>
        </is>
      </c>
      <c r="D58" s="11" t="inlineStr">
        <is>
          <t>모든 단계에서 N43이 미션 데이터와 정확히 일치</t>
        </is>
      </c>
      <c r="E58" s="11" t="inlineStr">
        <is>
          <t>V16N43E</t>
        </is>
      </c>
      <c r="F58" s="11" t="inlineStr">
        <is>
          <t>단계 이동 후 1초 진행을 모든 단계에서 반복</t>
        </is>
      </c>
      <c r="G58" s="11" t="inlineStr">
        <is>
          <t>R1~R3가 해당 시점 텔레메트리의 기대 값과 같다</t>
        </is>
      </c>
      <c r="H58" s="11" t="inlineStr">
        <is>
          <t>CompositeScenarioUiTests.PositionNounAcrossEveryPhase_MatchesTheMissionDataExactly</t>
        </is>
      </c>
      <c r="I58" s="8">
        <f>IFERROR(INDEX('전체 테스트 결과'!$G$2:$G$301,MATCH($A58,'전체 테스트 결과'!$F$2:$F$301,0)),"미구현")</f>
        <v/>
      </c>
      <c r="J58" s="8" t="inlineStr">
        <is>
          <t>통과</t>
        </is>
      </c>
    </row>
    <row r="59">
      <c r="A59" s="9" t="inlineStr">
        <is>
          <t>UI-C10</t>
        </is>
      </c>
      <c r="B59" s="9" t="inlineStr">
        <is>
          <t>복합</t>
        </is>
      </c>
      <c r="C59" s="9" t="inlineStr">
        <is>
          <t>복합 시나리오</t>
        </is>
      </c>
      <c r="D59" s="12" t="inlineStr">
        <is>
          <t>제동 중 사거리·잔여시간 감소</t>
        </is>
      </c>
      <c r="E59" s="12" t="inlineStr">
        <is>
          <t>PDI에서 V16N68E</t>
        </is>
      </c>
      <c r="F59" s="12" t="inlineStr">
        <is>
          <t>3초(180 미션초) 재생</t>
        </is>
      </c>
      <c r="G59" s="12" t="inlineStr">
        <is>
          <t>잔여시간 +08 27 → +05 27, 사거리 감소</t>
        </is>
      </c>
      <c r="H59" s="12" t="inlineStr">
        <is>
          <t>CompositeScenarioUiTests.RangeAndTimeToGo_CountDownDuringBraking</t>
        </is>
      </c>
      <c r="I59" s="9">
        <f>IFERROR(INDEX('전체 테스트 결과'!$G$2:$G$301,MATCH($A59,'전체 테스트 결과'!$F$2:$F$301,0)),"미구현")</f>
        <v/>
      </c>
      <c r="J59" s="9" t="inlineStr">
        <is>
          <t>통과</t>
        </is>
      </c>
    </row>
    <row r="60">
      <c r="A60" s="8" t="inlineStr">
        <is>
          <t>UI-C11</t>
        </is>
      </c>
      <c r="B60" s="8" t="inlineStr">
        <is>
          <t>복합</t>
        </is>
      </c>
      <c r="C60" s="8" t="inlineStr">
        <is>
          <t>복합 시나리오</t>
        </is>
      </c>
      <c r="D60" s="11" t="inlineStr">
        <is>
          <t>재생·일시정지·재개 시 시간 연속성</t>
        </is>
      </c>
      <c r="E60" s="11" t="inlineStr">
        <is>
          <t>초기 상태</t>
        </is>
      </c>
      <c r="F60" s="11" t="inlineStr">
        <is>
          <t>재생 1초 → 정지 2초 → 재생 1초</t>
        </is>
      </c>
      <c r="G60" s="11" t="inlineStr">
        <is>
          <t>60 → 60 → 120초</t>
        </is>
      </c>
      <c r="H60" s="11" t="inlineStr">
        <is>
          <t>CompositeScenarioUiTests.PlayPauseResume_KeepsTimeContinuity</t>
        </is>
      </c>
      <c r="I60" s="8">
        <f>IFERROR(INDEX('전체 테스트 결과'!$G$2:$G$301,MATCH($A60,'전체 테스트 결과'!$F$2:$F$301,0)),"미구현")</f>
        <v/>
      </c>
      <c r="J60" s="8" t="inlineStr">
        <is>
          <t>통과</t>
        </is>
      </c>
    </row>
    <row r="61">
      <c r="A61" s="9" t="inlineStr">
        <is>
          <t>UI-C12</t>
        </is>
      </c>
      <c r="B61" s="9" t="inlineStr">
        <is>
          <t>복합</t>
        </is>
      </c>
      <c r="C61" s="9" t="inlineStr">
        <is>
          <t>복합 시나리오</t>
        </is>
      </c>
      <c r="D61" s="12" t="inlineStr">
        <is>
          <t>무작위 키·시간·배속 스트레스(600회)</t>
        </is>
      </c>
      <c r="E61" s="12" t="inlineStr">
        <is>
          <t>102:30:00에서 재생</t>
        </is>
      </c>
      <c r="F61" s="12" t="inlineStr">
        <is>
          <t>시드 고정 난수로 19개 키 클릭, 간헐적 시간 진행·배속 변경</t>
        </is>
      </c>
      <c r="G61" s="12" t="inlineStr">
        <is>
          <t>예외 없음, 매번 화면 형식 정상, MET 표시 유지</t>
        </is>
      </c>
      <c r="H61" s="12" t="inlineStr">
        <is>
          <t>CompositeScenarioUiTests.RandomKeyAndTimeStress_NeverBreaksTheDisplay</t>
        </is>
      </c>
      <c r="I61" s="9">
        <f>IFERROR(INDEX('전체 테스트 결과'!$G$2:$G$301,MATCH($A61,'전체 테스트 결과'!$F$2:$F$301,0)),"미구현")</f>
        <v/>
      </c>
      <c r="J61" s="9" t="inlineStr">
        <is>
          <t>통과</t>
        </is>
      </c>
    </row>
    <row r="62">
      <c r="A62" s="8" t="inlineStr">
        <is>
          <t>UI-C13</t>
        </is>
      </c>
      <c r="B62" s="8" t="inlineStr">
        <is>
          <t>복합</t>
        </is>
      </c>
      <c r="C62" s="8" t="inlineStr">
        <is>
          <t>복합 시나리오</t>
        </is>
      </c>
      <c r="D62" s="11" t="inlineStr">
        <is>
          <t>알람 중간 지점에서 재생하면 남은 알람만</t>
        </is>
      </c>
      <c r="E62" s="11" t="inlineStr">
        <is>
          <t>102:42:00에서 재생</t>
        </is>
      </c>
      <c r="F62" s="11" t="inlineStr">
        <is>
          <t>102:44:00까지 진행하며 PROG 감지·RSET</t>
        </is>
      </c>
      <c r="G62" s="11" t="inlineStr">
        <is>
          <t>3건(42:17, 42:41, 42:57)만 감지</t>
        </is>
      </c>
      <c r="H62" s="11" t="inlineStr">
        <is>
          <t>CompositeScenarioUiTests.SeekIntoMiddleOfAlarms_OnlyRaisesTheOnesAhead</t>
        </is>
      </c>
      <c r="I62" s="8">
        <f>IFERROR(INDEX('전체 테스트 결과'!$G$2:$G$301,MATCH($A62,'전체 테스트 결과'!$F$2:$F$301,0)),"미구현")</f>
        <v/>
      </c>
      <c r="J62" s="8" t="inlineStr">
        <is>
          <t>통과</t>
        </is>
      </c>
    </row>
    <row r="63">
      <c r="A63" s="9" t="inlineStr">
        <is>
          <t>UI-C14</t>
        </is>
      </c>
      <c r="B63" s="9" t="inlineStr">
        <is>
          <t>복합</t>
        </is>
      </c>
      <c r="C63" s="9" t="inlineStr">
        <is>
          <t>복합 시나리오</t>
        </is>
      </c>
      <c r="D63" s="12" t="inlineStr">
        <is>
          <t>모니터 중 KEY REL 후 새 명령</t>
        </is>
      </c>
      <c r="E63" s="12" t="inlineStr">
        <is>
          <t>102:36:00, V16N63E 재생</t>
        </is>
      </c>
      <c r="F63" s="12" t="inlineStr">
        <is>
          <t>2초 → KEY REL → 2초 → V06N68E</t>
        </is>
      </c>
      <c r="G63" s="12" t="inlineStr">
        <is>
          <t>KEY REL 후 갱신 중단·COMP ACTY 소등, 새 명령 정상</t>
        </is>
      </c>
      <c r="H63" s="12" t="inlineStr">
        <is>
          <t>CompositeScenarioUiTests.KeyReleaseDuringMonitorThenNewCommand_WorksWithoutResidue</t>
        </is>
      </c>
      <c r="I63" s="9">
        <f>IFERROR(INDEX('전체 테스트 결과'!$G$2:$G$301,MATCH($A63,'전체 테스트 결과'!$F$2:$F$301,0)),"미구현")</f>
        <v/>
      </c>
      <c r="J63" s="9" t="inlineStr">
        <is>
          <t>통과</t>
        </is>
      </c>
    </row>
    <row r="64">
      <c r="A64" s="8" t="inlineStr">
        <is>
          <t>UI-C15</t>
        </is>
      </c>
      <c r="B64" s="8" t="inlineStr">
        <is>
          <t>복합</t>
        </is>
      </c>
      <c r="C64" s="8" t="inlineStr">
        <is>
          <t>복합 시나리오</t>
        </is>
      </c>
      <c r="D64" s="11" t="inlineStr">
        <is>
          <t>V37 선택 후 단계 이동 시 선택이 사라짐</t>
        </is>
      </c>
      <c r="E64" s="11" t="inlineStr">
        <is>
          <t>PDI</t>
        </is>
      </c>
      <c r="F64" s="11" t="inlineStr">
        <is>
          <t>V37E00E → P64 단계로 이동 → PDI로 복귀</t>
        </is>
      </c>
      <c r="G64" s="11" t="inlineStr">
        <is>
          <t>PROG 00 → 64 → 63</t>
        </is>
      </c>
      <c r="H64" s="11" t="inlineStr">
        <is>
          <t>CompositeScenarioUiTests.ProgramChangeAndPhaseJump_OverrideIsDroppedWhenJumpingToAnotherPhase</t>
        </is>
      </c>
      <c r="I64" s="8">
        <f>IFERROR(INDEX('전체 테스트 결과'!$G$2:$G$301,MATCH($A64,'전체 테스트 결과'!$F$2:$F$301,0)),"미구현")</f>
        <v/>
      </c>
      <c r="J64" s="8" t="inlineStr">
        <is>
          <t>통과</t>
        </is>
      </c>
    </row>
    <row r="65">
      <c r="A65" s="9" t="inlineStr">
        <is>
          <t>UI-C16</t>
        </is>
      </c>
      <c r="B65" s="9" t="inlineStr">
        <is>
          <t>복합</t>
        </is>
      </c>
      <c r="C65" s="9" t="inlineStr">
        <is>
          <t>복합 시나리오</t>
        </is>
      </c>
      <c r="D65" s="12" t="inlineStr">
        <is>
          <t>로그 파일 기록</t>
        </is>
      </c>
      <c r="E65" s="12" t="inlineStr">
        <is>
          <t>로그 폴더</t>
        </is>
      </c>
      <c r="F65" s="12" t="inlineStr">
        <is>
          <t>창에서 PDI 이동·V16N63E·잘못된 입력·V37E00E·재생 후 닫기</t>
        </is>
      </c>
      <c r="G65" s="12" t="inlineStr">
        <is>
          <t>단계 전환, 명령 실행, 알람, OPR ERR, V37 요청, 종료가 로그에 남는다</t>
        </is>
      </c>
      <c r="H65" s="12" t="inlineStr">
        <is>
          <t>CompositeScenarioUiTests.LogFile_RecordsPhasesAlarmsAndCommandsOfARun</t>
        </is>
      </c>
      <c r="I65" s="9">
        <f>IFERROR(INDEX('전체 테스트 결과'!$G$2:$G$301,MATCH($A65,'전체 테스트 결과'!$F$2:$F$301,0)),"미구현")</f>
        <v/>
      </c>
      <c r="J65" s="9" t="inlineStr">
        <is>
          <t>통과</t>
        </is>
      </c>
    </row>
    <row r="66">
      <c r="A66" s="8" t="inlineStr">
        <is>
          <t>UI-C17</t>
        </is>
      </c>
      <c r="B66" s="8" t="inlineStr">
        <is>
          <t>단일</t>
        </is>
      </c>
      <c r="C66" s="8" t="inlineStr">
        <is>
          <t>복합 시나리오</t>
        </is>
      </c>
      <c r="D66" s="11" t="inlineStr">
        <is>
          <t>창을 두 번 닫아도 안전</t>
        </is>
      </c>
      <c r="E66" s="11" t="inlineStr">
        <is>
          <t>창 생성</t>
        </is>
      </c>
      <c r="F66" s="11" t="inlineStr">
        <is>
          <t>V35E 후 Dispose를 두 번 호출</t>
        </is>
      </c>
      <c r="G66" s="11" t="inlineStr">
        <is>
          <t>예외 없음</t>
        </is>
      </c>
      <c r="H66" s="11" t="inlineStr">
        <is>
          <t>CompositeScenarioUiTests.DisposingTheWindowTwice_IsHarmless</t>
        </is>
      </c>
      <c r="I66" s="8">
        <f>IFERROR(INDEX('전체 테스트 결과'!$G$2:$G$301,MATCH($A66,'전체 테스트 결과'!$F$2:$F$301,0)),"미구현")</f>
        <v/>
      </c>
      <c r="J66" s="8" t="inlineStr">
        <is>
          <t>통과</t>
        </is>
      </c>
    </row>
    <row r="67">
      <c r="A67" s="9" t="inlineStr">
        <is>
          <t>UI-R01</t>
        </is>
      </c>
      <c r="B67" s="9" t="inlineStr">
        <is>
          <t>실제 창</t>
        </is>
      </c>
      <c r="C67" s="9" t="inlineStr">
        <is>
          <t>실제 창</t>
        </is>
      </c>
      <c r="D67" s="12" t="inlineStr">
        <is>
          <t>실제 DispatcherTimer가 시계를 진행</t>
        </is>
      </c>
      <c r="E67" s="12" t="inlineStr">
        <is>
          <t>창을 Show()</t>
        </is>
      </c>
      <c r="F67" s="12" t="inlineStr">
        <is>
          <t>재생 후 실제 시간 1.5초 대기</t>
        </is>
      </c>
      <c r="G67" s="12" t="inlineStr">
        <is>
          <t>Loaded 완료, 재생 전 정지, 재생 후 미션 시간이 흐른다(30~200초)</t>
        </is>
      </c>
      <c r="H67" s="12" t="inlineStr">
        <is>
          <t>RealWindowTests.ShownWindow_RealTimerAdvancesTheMissionClock</t>
        </is>
      </c>
      <c r="I67" s="9">
        <f>IFERROR(INDEX('전체 테스트 결과'!$G$2:$G$301,MATCH($A67,'전체 테스트 결과'!$F$2:$F$301,0)),"미구현")</f>
        <v/>
      </c>
      <c r="J67" s="9" t="inlineStr">
        <is>
          <t>통과</t>
        </is>
      </c>
    </row>
    <row r="68">
      <c r="A68" s="8" t="inlineStr">
        <is>
          <t>UI-R02</t>
        </is>
      </c>
      <c r="B68" s="8" t="inlineStr">
        <is>
          <t>실제 창</t>
        </is>
      </c>
      <c r="C68" s="8" t="inlineStr">
        <is>
          <t>실제 창</t>
        </is>
      </c>
      <c r="D68" s="11" t="inlineStr">
        <is>
          <t>깜박임·모니터가 각자의 타이머로 동작</t>
        </is>
      </c>
      <c r="E68" s="11" t="inlineStr">
        <is>
          <t>창을 Show()</t>
        </is>
      </c>
      <c r="F68" s="11" t="inlineStr">
        <is>
          <t>V25N36E로 깜박임 관찰 → V34E → V16N36E 재생 2.3초</t>
        </is>
      </c>
      <c r="G68" s="11" t="inlineStr">
        <is>
          <t>켜짐/꺼짐이 모두 관찰, 모니터가 스스로 갱신</t>
        </is>
      </c>
      <c r="H68" s="11" t="inlineStr">
        <is>
          <t>RealWindowTests.ShownWindow_RealtimeMonitorAndFlashRunByTheirOwnTimers</t>
        </is>
      </c>
      <c r="I68" s="8">
        <f>IFERROR(INDEX('전체 테스트 결과'!$G$2:$G$301,MATCH($A68,'전체 테스트 결과'!$F$2:$F$301,0)),"미구현")</f>
        <v/>
      </c>
      <c r="J68" s="8" t="inlineStr">
        <is>
          <t>통과</t>
        </is>
      </c>
    </row>
    <row r="69">
      <c r="A69" s="9" t="inlineStr">
        <is>
          <t>UI-R03</t>
        </is>
      </c>
      <c r="B69" s="9" t="inlineStr">
        <is>
          <t>실제 창</t>
        </is>
      </c>
      <c r="C69" s="9" t="inlineStr">
        <is>
          <t>실제 창</t>
        </is>
      </c>
      <c r="D69" s="12" t="inlineStr">
        <is>
          <t>주요 시나리오 스크린샷과 화면 내용(픽셀)</t>
        </is>
      </c>
      <c r="E69" s="12" t="inlineStr">
        <is>
          <t>창을 Show()</t>
        </is>
      </c>
      <c r="F69" s="12" t="inlineStr">
        <is>
          <t>초기(P11 N62 표시) → V35E → (실시간 5초 대기) → 하강 알람 → 착륙 후 RSET</t>
        </is>
      </c>
      <c r="G69" s="12" t="inlineStr">
        <is>
          <t>각 화면에서 점등/소등 램프, 숫자 세그먼트가 기대와 같고 PNG 저장</t>
        </is>
      </c>
      <c r="H69" s="12" t="inlineStr">
        <is>
          <t>RealWindowTests.ShownWindow_ScreenshotsOfKeyScenarios_ContainWhatTheyShould</t>
        </is>
      </c>
      <c r="I69" s="9">
        <f>IFERROR(INDEX('전체 테스트 결과'!$G$2:$G$301,MATCH($A69,'전체 테스트 결과'!$F$2:$F$301,0)),"미구현")</f>
        <v/>
      </c>
      <c r="J69" s="9" t="inlineStr">
        <is>
          <t>통과</t>
        </is>
      </c>
    </row>
    <row r="70">
      <c r="A70" s="8" t="inlineStr">
        <is>
          <t>UI-R04</t>
        </is>
      </c>
      <c r="B70" s="8" t="inlineStr">
        <is>
          <t>실제 창</t>
        </is>
      </c>
      <c r="C70" s="8" t="inlineStr">
        <is>
          <t>실제 창</t>
        </is>
      </c>
      <c r="D70" s="11" t="inlineStr">
        <is>
          <t>창 크기별 레이아웃(1500×860, 1100×700, 1920×1080)</t>
        </is>
      </c>
      <c r="E70" s="11" t="inlineStr">
        <is>
          <t>창을 Show()</t>
        </is>
      </c>
      <c r="F70" s="11" t="inlineStr">
        <is>
          <t>크기를 바꿔 가며 요소 위치를 측정</t>
        </is>
      </c>
      <c r="G70" s="11" t="inlineStr">
        <is>
          <t>DSKY는 왼쪽 절반·비율 유지, 미션 컨트롤은 오른쪽 절반이며 창 밖으로 잘리지 않는다</t>
        </is>
      </c>
      <c r="H70" s="11" t="inlineStr">
        <is>
          <t>RealWindowTests.ShownWindow_LayoutHoldsAtDefaultAndMinimumSizes</t>
        </is>
      </c>
      <c r="I70" s="8">
        <f>IFERROR(INDEX('전체 테스트 결과'!$G$2:$G$301,MATCH($A70,'전체 테스트 결과'!$F$2:$F$301,0)),"미구현")</f>
        <v/>
      </c>
      <c r="J70" s="8" t="inlineStr">
        <is>
          <t>통과</t>
        </is>
      </c>
    </row>
    <row r="71">
      <c r="A71" s="9" t="inlineStr">
        <is>
          <t>UI-R05</t>
        </is>
      </c>
      <c r="B71" s="9" t="inlineStr">
        <is>
          <t>실제 창</t>
        </is>
      </c>
      <c r="C71" s="9" t="inlineStr">
        <is>
          <t>실제 창</t>
        </is>
      </c>
      <c r="D71" s="12" t="inlineStr">
        <is>
          <t>창을 닫으면 타이머 정지</t>
        </is>
      </c>
      <c r="E71" s="12" t="inlineStr">
        <is>
          <t>재생 중인 창</t>
        </is>
      </c>
      <c r="F71" s="12" t="inlineStr">
        <is>
          <t>창 닫기 후 시간 측정</t>
        </is>
      </c>
      <c r="G71" s="12" t="inlineStr">
        <is>
          <t>닫힌 뒤 미션 시간이 더 흐르지 않는다</t>
        </is>
      </c>
      <c r="H71" s="12" t="inlineStr">
        <is>
          <t>RealWindowTests.ShownWindow_ClosingStopsTheTimerAndWritesStopLog</t>
        </is>
      </c>
      <c r="I71" s="9">
        <f>IFERROR(INDEX('전체 테스트 결과'!$G$2:$G$301,MATCH($A71,'전체 테스트 결과'!$F$2:$F$301,0)),"미구현")</f>
        <v/>
      </c>
      <c r="J71" s="9" t="inlineStr">
        <is>
          <t>통과</t>
        </is>
      </c>
    </row>
    <row r="72">
      <c r="A72" s="8" t="inlineStr">
        <is>
          <t>UI-R06</t>
        </is>
      </c>
      <c r="B72" s="8" t="inlineStr">
        <is>
          <t>실제 창</t>
        </is>
      </c>
      <c r="C72" s="8" t="inlineStr">
        <is>
          <t>실제 창</t>
        </is>
      </c>
      <c r="D72" s="11" t="inlineStr">
        <is>
          <t>실제 Agc.Wpf.exe 프로세스 실행·캡처·종료</t>
        </is>
      </c>
      <c r="E72" s="11" t="inlineStr">
        <is>
          <t>빌드된 exe</t>
        </is>
      </c>
      <c r="F72" s="11" t="inlineStr">
        <is>
          <t>프로세스 실행 → 창 대기 → PrintWindow 캡처 → 닫기 요청</t>
        </is>
      </c>
      <c r="G72" s="11" t="inlineStr">
        <is>
          <t>창 제목, 응답 있음, 회색 베젤·검은 키 픽셀 확인, 정상 종료 코드 0, 시작/종료 로그</t>
        </is>
      </c>
      <c r="H72" s="11" t="inlineStr">
        <is>
          <t>RealWindowTests.LaunchedApplication_ShowsARealWindowThatCanBeCapturedAndClosedCleanly</t>
        </is>
      </c>
      <c r="I72" s="8">
        <f>IFERROR(INDEX('전체 테스트 결과'!$G$2:$G$301,MATCH($A72,'전체 테스트 결과'!$F$2:$F$301,0)),"미구현")</f>
        <v/>
      </c>
      <c r="J72" s="8" t="inlineStr">
        <is>
          <t>통과</t>
        </is>
      </c>
    </row>
    <row r="73">
      <c r="A73" s="9" t="inlineStr">
        <is>
          <t>UI-P15</t>
        </is>
      </c>
      <c r="B73" s="9" t="inlineStr">
        <is>
          <t>단일</t>
        </is>
      </c>
      <c r="C73" s="9" t="inlineStr">
        <is>
          <t>우주선 전환(CM/LM)</t>
        </is>
      </c>
      <c r="D73" s="12" t="inlineStr">
        <is>
          <t>사령선 DSKY는 ALT/VEL 램프 칸이 비어 있음</t>
        </is>
      </c>
      <c r="E73" s="12" t="inlineStr">
        <is>
          <t>패널 생성</t>
        </is>
      </c>
      <c r="F73" s="12" t="inlineStr">
        <is>
          <t>Vehicle=사령선인 표시를 설정</t>
        </is>
      </c>
      <c r="G73" s="12" t="inlineStr">
        <is>
          <t>ALT, VEL 칸이 숨겨지고 다른 램프(PROG 등)는 보인다</t>
        </is>
      </c>
      <c r="H73" s="12" t="inlineStr">
        <is>
          <t>VehicleUiTests.Panel_CommandModuleDisplay_HidesAltAndVelLampCells</t>
        </is>
      </c>
      <c r="I73" s="9">
        <f>IFERROR(INDEX('전체 테스트 결과'!$G$2:$G$301,MATCH($A73,'전체 테스트 결과'!$F$2:$F$301,0)),"미구현")</f>
        <v/>
      </c>
      <c r="J73" s="9" t="inlineStr">
        <is>
          <t>통과</t>
        </is>
      </c>
    </row>
    <row r="74">
      <c r="A74" s="8" t="inlineStr">
        <is>
          <t>UI-P16</t>
        </is>
      </c>
      <c r="B74" s="8" t="inlineStr">
        <is>
          <t>단일</t>
        </is>
      </c>
      <c r="C74" s="8" t="inlineStr">
        <is>
          <t>우주선 전환(CM/LM)</t>
        </is>
      </c>
      <c r="D74" s="11" t="inlineStr">
        <is>
          <t>착륙선 DSKY는 ALT/VEL 램프가 있고 다시 사령선이 되면 숨겨짐</t>
        </is>
      </c>
      <c r="E74" s="11" t="inlineStr">
        <is>
          <t>패널 생성</t>
        </is>
      </c>
      <c r="F74" s="11" t="inlineStr">
        <is>
          <t>착륙선 표시 → 사령선 표시로 교체</t>
        </is>
      </c>
      <c r="G74" s="11" t="inlineStr">
        <is>
          <t>착륙선: ALT/VEL 보임, 사령선: 숨김</t>
        </is>
      </c>
      <c r="H74" s="11" t="inlineStr">
        <is>
          <t>VehicleUiTests.Panel_LunarModuleDisplay_ShowsAltAndVelAndSwitchesBack</t>
        </is>
      </c>
      <c r="I74" s="8">
        <f>IFERROR(INDEX('전체 테스트 결과'!$G$2:$G$301,MATCH($A74,'전체 테스트 결과'!$F$2:$F$301,0)),"미구현")</f>
        <v/>
      </c>
      <c r="J74" s="8" t="inlineStr">
        <is>
          <t>통과</t>
        </is>
      </c>
    </row>
    <row r="75">
      <c r="A75" s="9" t="inlineStr">
        <is>
          <t>UI-V01</t>
        </is>
      </c>
      <c r="B75" s="9" t="inlineStr">
        <is>
          <t>단일</t>
        </is>
      </c>
      <c r="C75" s="9" t="inlineStr">
        <is>
          <t>우주선 전환(CM/LM)</t>
        </is>
      </c>
      <c r="D75" s="12" t="inlineStr">
        <is>
          <t>LM 분리·도킹 경계에서 컴퓨터 캡션과 램프 전환</t>
        </is>
      </c>
      <c r="E75" s="12" t="inlineStr">
        <is>
          <t>창 생성</t>
        </is>
      </c>
      <c r="F75" s="12" t="inlineStr">
        <is>
          <t>100:11:59 → 100:12:00 → 128:02:59 → 128:03:00으로 이동</t>
        </is>
      </c>
      <c r="G75" s="12" t="inlineStr">
        <is>
          <t>사령선(Colossus 2A, ALT/VEL 없음) → 착륙선(Luminary 1A, ALT/VEL 있음) → 사령선</t>
        </is>
      </c>
      <c r="H75" s="12" t="inlineStr">
        <is>
          <t>VehicleUiTests.Caption_AndAltVelLamps_FollowTheVehicleAtUndockingAndDocking</t>
        </is>
      </c>
      <c r="I75" s="9">
        <f>IFERROR(INDEX('전체 테스트 결과'!$G$2:$G$301,MATCH($A75,'전체 테스트 결과'!$F$2:$F$301,0)),"미구현")</f>
        <v/>
      </c>
      <c r="J75" s="9" t="inlineStr">
        <is>
          <t>통과</t>
        </is>
      </c>
    </row>
    <row r="76">
      <c r="A76" s="8" t="inlineStr">
        <is>
          <t>UI-V02</t>
        </is>
      </c>
      <c r="B76" s="8" t="inlineStr">
        <is>
          <t>복합</t>
        </is>
      </c>
      <c r="C76" s="8" t="inlineStr">
        <is>
          <t>우주선 전환(CM/LM)</t>
        </is>
      </c>
      <c r="D76" s="11" t="inlineStr">
        <is>
          <t>모든 단계에서 올바른 컴퓨터 캡션·램프</t>
        </is>
      </c>
      <c r="E76" s="11" t="inlineStr">
        <is>
          <t>창 생성</t>
        </is>
      </c>
      <c r="F76" s="11" t="inlineStr">
        <is>
          <t>단계 목록의 모든 단계를 차례로 선택</t>
        </is>
      </c>
      <c r="G76" s="11" t="inlineStr">
        <is>
          <t>키프레임의 우주선과 캡션, ALT/VEL 칸 유무가 일치</t>
        </is>
      </c>
      <c r="H76" s="11" t="inlineStr">
        <is>
          <t>VehicleUiTests.EveryPhase_ShowsTheRightComputerCaptionAndLamps</t>
        </is>
      </c>
      <c r="I76" s="8">
        <f>IFERROR(INDEX('전체 테스트 결과'!$G$2:$G$301,MATCH($A76,'전체 테스트 결과'!$F$2:$F$301,0)),"미구현")</f>
        <v/>
      </c>
      <c r="J76" s="8" t="inlineStr">
        <is>
          <t>통과</t>
        </is>
      </c>
    </row>
    <row r="77">
      <c r="A77" s="9" t="inlineStr">
        <is>
          <t>UI-V03</t>
        </is>
      </c>
      <c r="B77" s="9" t="inlineStr">
        <is>
          <t>단일</t>
        </is>
      </c>
      <c r="C77" s="9" t="inlineStr">
        <is>
          <t>우주선 전환(CM/LM)</t>
        </is>
      </c>
      <c r="D77" s="12" t="inlineStr">
        <is>
          <t>착륙선에서만 램프 테스트가 ALT/VEL까지 점등</t>
        </is>
      </c>
      <c r="E77" s="12" t="inlineStr">
        <is>
          <t>창 생성</t>
        </is>
      </c>
      <c r="F77" s="12" t="inlineStr">
        <is>
          <t>PDI로 이동 후 V35E</t>
        </is>
      </c>
      <c r="G77" s="12" t="inlineStr">
        <is>
          <t>램프 13개 모두 점등(ALT, VEL 포함)</t>
        </is>
      </c>
      <c r="H77" s="12" t="inlineStr">
        <is>
          <t>VehicleUiTests.LampTest_LightsAltAndVelOnlyOnTheLunarModule</t>
        </is>
      </c>
      <c r="I77" s="9">
        <f>IFERROR(INDEX('전체 테스트 결과'!$G$2:$G$301,MATCH($A77,'전체 테스트 결과'!$F$2:$F$301,0)),"미구현")</f>
        <v/>
      </c>
      <c r="J77" s="9" t="inlineStr">
        <is>
          <t>통과</t>
        </is>
      </c>
    </row>
    <row r="78">
      <c r="A78" s="8" t="inlineStr">
        <is>
          <t>UI-V04</t>
        </is>
      </c>
      <c r="B78" s="8" t="inlineStr">
        <is>
          <t>복합</t>
        </is>
      </c>
      <c r="C78" s="8" t="inlineStr">
        <is>
          <t>우주선 전환(CM/LM)</t>
        </is>
      </c>
      <c r="D78" s="11" t="inlineStr">
        <is>
          <t>동력 하강: 프로그램이 N63을 스스로 띄우고 재생으로 갱신</t>
        </is>
      </c>
      <c r="E78" s="11" t="inlineStr">
        <is>
          <t>창 생성</t>
        </is>
      </c>
      <c r="F78" s="11" t="inlineStr">
        <is>
          <t>PDI(102:33:05)로 이동 → 재생 3초</t>
        </is>
      </c>
      <c r="G78" s="11" t="inlineStr">
        <is>
          <t>PROG 63, V16 N63 표시·COMP ACTY, 계산 고도가 줄어든다</t>
        </is>
      </c>
      <c r="H78" s="11" t="inlineStr">
        <is>
          <t>VehicleUiTests.PowerDescent_ProgramShowsN63MonitorOnItsOwn_AndPlaybackKeepsItUpdated</t>
        </is>
      </c>
      <c r="I78" s="8">
        <f>IFERROR(INDEX('전체 테스트 결과'!$G$2:$G$301,MATCH($A78,'전체 테스트 결과'!$F$2:$F$301,0)),"미구현")</f>
        <v/>
      </c>
      <c r="J78" s="8" t="inlineStr">
        <is>
          <t>통과</t>
        </is>
      </c>
    </row>
    <row r="79">
      <c r="A79" s="9" t="inlineStr">
        <is>
          <t>UI-V05</t>
        </is>
      </c>
      <c r="B79" s="9" t="inlineStr">
        <is>
          <t>복합</t>
        </is>
      </c>
      <c r="C79" s="9" t="inlineStr">
        <is>
          <t>우주선 전환(CM/LM)</t>
        </is>
      </c>
      <c r="D79" s="12" t="inlineStr">
        <is>
          <t>프로그램 표시는 교체되고 승무원 표시는 KEY REL로 보호</t>
        </is>
      </c>
      <c r="E79" s="12" t="inlineStr">
        <is>
          <t>창 생성</t>
        </is>
      </c>
      <c r="F79" s="12" t="inlineStr">
        <is>
          <t>발사 표시 → PDI 이동(교체) / 승무원이 V06N36E 후 PDI 이동 → KEY REL</t>
        </is>
      </c>
      <c r="G79" s="12" t="inlineStr">
        <is>
          <t>앞의 경우 N63으로 교체·KEY REL 없음, 뒤의 경우 KEY REL 점등·N36 유지, KEY REL 후 N63 표시</t>
        </is>
      </c>
      <c r="H79" s="12" t="inlineStr">
        <is>
          <t>VehicleUiTests.ProgramDisplay_ReplacesPreviousProgramDisplay_ButNotTheCrewsOwnCommand</t>
        </is>
      </c>
      <c r="I79" s="9">
        <f>IFERROR(INDEX('전체 테스트 결과'!$G$2:$G$301,MATCH($A79,'전체 테스트 결과'!$F$2:$F$301,0)),"미구현")</f>
        <v/>
      </c>
      <c r="J79" s="9" t="inlineStr">
        <is>
          <t>통과</t>
        </is>
      </c>
    </row>
    <row r="80">
      <c r="A80" s="8" t="inlineStr">
        <is>
          <t>UI-V06</t>
        </is>
      </c>
      <c r="B80" s="8" t="inlineStr">
        <is>
          <t>복합</t>
        </is>
      </c>
      <c r="C80" s="8" t="inlineStr">
        <is>
          <t>우주선 전환(CM/LM)</t>
        </is>
      </c>
      <c r="D80" s="11" t="inlineStr">
        <is>
          <t>N62 정의 차이: 사령선 속도·고도, 착륙선 점화 카운트다운</t>
        </is>
      </c>
      <c r="E80" s="11" t="inlineStr">
        <is>
          <t>창 생성</t>
        </is>
      </c>
      <c r="F80" s="11" t="inlineStr">
        <is>
          <t>사령선 상승 중 읽기 → 102:30:00에서 V16N62E → 재생 1초</t>
        </is>
      </c>
      <c r="G80" s="11" t="inlineStr">
        <is>
          <t>사령선: 속도·고도 &gt; 0, 착륙선: R2 +03 05 → +02 05</t>
        </is>
      </c>
      <c r="H80" s="11" t="inlineStr">
        <is>
          <t>VehicleUiTests.N62_CommandModuleShowsVelocityAltRateAltitude_LunarModuleShowsIgnitionCountdown</t>
        </is>
      </c>
      <c r="I80" s="8">
        <f>IFERROR(INDEX('전체 테스트 결과'!$G$2:$G$301,MATCH($A80,'전체 테스트 결과'!$F$2:$F$301,0)),"미구현")</f>
        <v/>
      </c>
      <c r="J80" s="8" t="inlineStr">
        <is>
          <t>통과</t>
        </is>
      </c>
    </row>
    <row r="81">
      <c r="A81" s="9" t="inlineStr">
        <is>
          <t>UI-V07</t>
        </is>
      </c>
      <c r="B81" s="9" t="inlineStr">
        <is>
          <t>복합</t>
        </is>
      </c>
      <c r="C81" s="9" t="inlineStr">
        <is>
          <t>우주선 전환(CM/LM)</t>
        </is>
      </c>
      <c r="D81" s="12" t="inlineStr">
        <is>
          <t>하강 노운 N63/N68은 착륙선 전용</t>
        </is>
      </c>
      <c r="E81" s="12" t="inlineStr">
        <is>
          <t>창 생성</t>
        </is>
      </c>
      <c r="F81" s="12" t="inlineStr">
        <is>
          <t>사령선(100:11:59)·착륙선(100:12:00)·도킹 후(128:03:00)에서 N63/N68 입력</t>
        </is>
      </c>
      <c r="G81" s="12" t="inlineStr">
        <is>
          <t>사령선 OPR ERR, 착륙선 정상, 도킹 후 다시 OPR ERR</t>
        </is>
      </c>
      <c r="H81" s="12" t="inlineStr">
        <is>
          <t>VehicleUiTests.DescentNouns_AreRejectedOnTheCommandModuleAndAcceptedOnTheLunarModule</t>
        </is>
      </c>
      <c r="I81" s="9">
        <f>IFERROR(INDEX('전체 테스트 결과'!$G$2:$G$301,MATCH($A81,'전체 테스트 결과'!$F$2:$F$301,0)),"미구현")</f>
        <v/>
      </c>
      <c r="J81" s="9" t="inlineStr">
        <is>
          <t>통과</t>
        </is>
      </c>
    </row>
    <row r="82">
      <c r="A82" s="8" t="inlineStr">
        <is>
          <t>UI-V08</t>
        </is>
      </c>
      <c r="B82" s="8" t="inlineStr">
        <is>
          <t>복합</t>
        </is>
      </c>
      <c r="C82" s="8" t="inlineStr">
        <is>
          <t>우주선 전환(CM/LM)</t>
        </is>
      </c>
      <c r="D82" s="11" t="inlineStr">
        <is>
          <t>하강~상승 재생 중 컴퓨터가 정확히 두 번 바뀜</t>
        </is>
      </c>
      <c r="E82" s="11" t="inlineStr">
        <is>
          <t>100:10:00에서 600× 재생</t>
        </is>
      </c>
      <c r="F82" s="11" t="inlineStr">
        <is>
          <t>128:10:00까지 캡션 변화를 기록</t>
        </is>
      </c>
      <c r="G82" s="11" t="inlineStr">
        <is>
          <t>사령선 → 착륙선 → 사령선 (3개)</t>
        </is>
      </c>
      <c r="H82" s="11" t="inlineStr">
        <is>
          <t>VehicleUiTests.WholeDescentAndAscent_PlaybackSwitchesComputersExactlyTwice</t>
        </is>
      </c>
      <c r="I82" s="8">
        <f>IFERROR(INDEX('전체 테스트 결과'!$G$2:$G$301,MATCH($A82,'전체 테스트 결과'!$F$2:$F$301,0)),"미구현")</f>
        <v/>
      </c>
      <c r="J82" s="8" t="inlineStr">
        <is>
          <t>통과</t>
        </is>
      </c>
    </row>
    <row r="83">
      <c r="A83" s="9" t="inlineStr">
        <is>
          <t>UI-G01</t>
        </is>
      </c>
      <c r="B83" s="9" t="inlineStr">
        <is>
          <t>단일</t>
        </is>
      </c>
      <c r="C83" s="9" t="inlineStr">
        <is>
          <t>천체 렌더러</t>
        </is>
      </c>
      <c r="D83" s="12" t="inlineStr">
        <is>
          <t>NASA 텍스처가 임베디드 리소스로 읽힘</t>
        </is>
      </c>
      <c r="E83" s="12" t="inlineStr">
        <is>
          <t>-</t>
        </is>
      </c>
      <c r="F83" s="12" t="inlineStr">
        <is>
          <t>지구/달 텍스처 크기를 읽는다</t>
        </is>
      </c>
      <c r="G83" s="12" t="inlineStr">
        <is>
          <t>지구 2048×1024, 달 1024×512</t>
        </is>
      </c>
      <c r="H83" s="12" t="inlineStr">
        <is>
          <t>PlanetRendererTests.Textures_AreLoadedFromEmbeddedResources</t>
        </is>
      </c>
      <c r="I83" s="9">
        <f>IFERROR(INDEX('전체 테스트 결과'!$G$2:$G$301,MATCH($A83,'전체 테스트 결과'!$F$2:$F$301,0)),"미구현")</f>
        <v/>
      </c>
      <c r="J83" s="9" t="inlineStr">
        <is>
          <t>통과</t>
        </is>
      </c>
    </row>
    <row r="84">
      <c r="A84" s="8" t="inlineStr">
        <is>
          <t>UI-G02</t>
        </is>
      </c>
      <c r="B84" s="8" t="inlineStr">
        <is>
          <t>단일</t>
        </is>
      </c>
      <c r="C84" s="8" t="inlineStr">
        <is>
          <t>천체 렌더러</t>
        </is>
      </c>
      <c r="D84" s="11" t="inlineStr">
        <is>
          <t>렌더 결과는 원반보다 큰 정사각형 프레임이며 동결됨</t>
        </is>
      </c>
      <c r="E84" s="11" t="inlineStr">
        <is>
          <t>-</t>
        </is>
      </c>
      <c r="F84" s="11" t="inlineStr">
        <is>
          <t>지구를 렌더링</t>
        </is>
      </c>
      <c r="G84" s="11" t="inlineStr">
        <is>
          <t>한 변 = 지름×1.24, IsFrozen(스레드 간 공유 안전)</t>
        </is>
      </c>
      <c r="H84" s="11" t="inlineStr">
        <is>
          <t>PlanetRendererTests.Render_ReturnsSquareFrameLargerThanTheDisc_AndIsFrozen</t>
        </is>
      </c>
      <c r="I84" s="8">
        <f>IFERROR(INDEX('전체 테스트 결과'!$G$2:$G$301,MATCH($A84,'전체 테스트 결과'!$F$2:$F$301,0)),"미구현")</f>
        <v/>
      </c>
      <c r="J84" s="8" t="inlineStr">
        <is>
          <t>통과</t>
        </is>
      </c>
    </row>
    <row r="85">
      <c r="A85" s="9" t="inlineStr">
        <is>
          <t>UI-G03</t>
        </is>
      </c>
      <c r="B85" s="9" t="inlineStr">
        <is>
          <t>단일</t>
        </is>
      </c>
      <c r="C85" s="9" t="inlineStr">
        <is>
          <t>천체 렌더러</t>
        </is>
      </c>
      <c r="D85" s="12" t="inlineStr">
        <is>
          <t>태양 쪽이 밝고 반대쪽이 어둡다, 태평양은 푸름</t>
        </is>
      </c>
      <c r="E85" s="12" t="inlineStr">
        <is>
          <t>태양 방향 왼쪽</t>
        </is>
      </c>
      <c r="F85" s="12" t="inlineStr">
        <is>
          <t>낮 쪽/밤 쪽 픽셀 비교</t>
        </is>
      </c>
      <c r="G85" s="12" t="inlineStr">
        <is>
          <t>낮이 밤보다 3배 이상 밝고 바다는 파랑이 지배적</t>
        </is>
      </c>
      <c r="H85" s="12" t="inlineStr">
        <is>
          <t>PlanetRendererTests.Earth_SunlitSide_IsBrighterThanNightSide_AndOceanIsBlue</t>
        </is>
      </c>
      <c r="I85" s="9">
        <f>IFERROR(INDEX('전체 테스트 결과'!$G$2:$G$301,MATCH($A85,'전체 테스트 결과'!$F$2:$F$301,0)),"미구현")</f>
        <v/>
      </c>
      <c r="J85" s="9" t="inlineStr">
        <is>
          <t>통과</t>
        </is>
      </c>
    </row>
    <row r="86">
      <c r="A86" s="8" t="inlineStr">
        <is>
          <t>UI-G04</t>
        </is>
      </c>
      <c r="B86" s="8" t="inlineStr">
        <is>
          <t>단일</t>
        </is>
      </c>
      <c r="C86" s="8" t="inlineStr">
        <is>
          <t>천체 렌더러</t>
        </is>
      </c>
      <c r="D86" s="11" t="inlineStr">
        <is>
          <t>지구 대기 글로는 원반 밖에, 프레임 모서리는 투명</t>
        </is>
      </c>
      <c r="E86" s="11" t="inlineStr">
        <is>
          <t>-</t>
        </is>
      </c>
      <c r="F86" s="11" t="inlineStr">
        <is>
          <t>원반 바로 바깥과 모서리 픽셀</t>
        </is>
      </c>
      <c r="G86" s="11" t="inlineStr">
        <is>
          <t>태양 쪽에 푸른 글로(알파&gt;20), 모서리 알파 0</t>
        </is>
      </c>
      <c r="H86" s="11" t="inlineStr">
        <is>
          <t>PlanetRendererTests.Earth_HasAtmosphericGlowOutsideTheDisc_ButCornersAreTransparent</t>
        </is>
      </c>
      <c r="I86" s="8">
        <f>IFERROR(INDEX('전체 테스트 결과'!$G$2:$G$301,MATCH($A86,'전체 테스트 결과'!$F$2:$F$301,0)),"미구현")</f>
        <v/>
      </c>
      <c r="J86" s="8" t="inlineStr">
        <is>
          <t>통과</t>
        </is>
      </c>
    </row>
    <row r="87">
      <c r="A87" s="9" t="inlineStr">
        <is>
          <t>UI-G05</t>
        </is>
      </c>
      <c r="B87" s="9" t="inlineStr">
        <is>
          <t>단일</t>
        </is>
      </c>
      <c r="C87" s="9" t="inlineStr">
        <is>
          <t>천체 렌더러</t>
        </is>
      </c>
      <c r="D87" s="12" t="inlineStr">
        <is>
          <t>달은 무채색이며 대기 글로가 없다</t>
        </is>
      </c>
      <c r="E87" s="12" t="inlineStr">
        <is>
          <t>-</t>
        </is>
      </c>
      <c r="F87" s="12" t="inlineStr">
        <is>
          <t>달 표면과 원반 밖 픽셀</t>
        </is>
      </c>
      <c r="G87" s="12" t="inlineStr">
        <is>
          <t>R≈B, 충분히 밝음, 원반 밖 투명</t>
        </is>
      </c>
      <c r="H87" s="12" t="inlineStr">
        <is>
          <t>PlanetRendererTests.Moon_IsGrayAndHasNoAtmosphereGlow</t>
        </is>
      </c>
      <c r="I87" s="9">
        <f>IFERROR(INDEX('전체 테스트 결과'!$G$2:$G$301,MATCH($A87,'전체 테스트 결과'!$F$2:$F$301,0)),"미구현")</f>
        <v/>
      </c>
      <c r="J87" s="9" t="inlineStr">
        <is>
          <t>통과</t>
        </is>
      </c>
    </row>
    <row r="88">
      <c r="A88" s="8" t="inlineStr">
        <is>
          <t>UI-G06</t>
        </is>
      </c>
      <c r="B88" s="8" t="inlineStr">
        <is>
          <t>단일</t>
        </is>
      </c>
      <c r="C88" s="8" t="inlineStr">
        <is>
          <t>천체 렌더러</t>
        </is>
      </c>
      <c r="D88" s="11" t="inlineStr">
        <is>
          <t>중심 경도가 다르면 다른 면이 보인다</t>
        </is>
      </c>
      <c r="E88" s="11" t="inlineStr">
        <is>
          <t>-</t>
        </is>
      </c>
      <c r="F88" s="11" t="inlineStr">
        <is>
          <t>달 앞면/뒷면 렌더링 비교</t>
        </is>
      </c>
      <c r="G88" s="11" t="inlineStr">
        <is>
          <t>픽셀이 다르다</t>
        </is>
      </c>
      <c r="H88" s="11" t="inlineStr">
        <is>
          <t>PlanetRendererTests.Moon_NearSideCenterIsDarkMariaCompareToFarSide_AndRotationChangesTheImage</t>
        </is>
      </c>
      <c r="I88" s="8">
        <f>IFERROR(INDEX('전체 테스트 결과'!$G$2:$G$301,MATCH($A88,'전체 테스트 결과'!$F$2:$F$301,0)),"미구현")</f>
        <v/>
      </c>
      <c r="J88" s="8" t="inlineStr">
        <is>
          <t>통과</t>
        </is>
      </c>
    </row>
    <row r="89">
      <c r="A89" s="9" t="inlineStr">
        <is>
          <t>UI-G07</t>
        </is>
      </c>
      <c r="B89" s="9" t="inlineStr">
        <is>
          <t>단일</t>
        </is>
      </c>
      <c r="C89" s="9" t="inlineStr">
        <is>
          <t>천체 렌더러</t>
        </is>
      </c>
      <c r="D89" s="12" t="inlineStr">
        <is>
          <t>구름 이동은 구름층만 바꾼다</t>
        </is>
      </c>
      <c r="E89" s="12" t="inlineStr">
        <is>
          <t>-</t>
        </is>
      </c>
      <c r="F89" s="12" t="inlineStr">
        <is>
          <t>구름 경도 0°와 40° 비교</t>
        </is>
      </c>
      <c r="G89" s="12" t="inlineStr">
        <is>
          <t>화면이 달라진다</t>
        </is>
      </c>
      <c r="H89" s="12" t="inlineStr">
        <is>
          <t>PlanetRendererTests.Earth_CloudShift_ChangesTheCloudLayerOnly</t>
        </is>
      </c>
      <c r="I89" s="9">
        <f>IFERROR(INDEX('전체 테스트 결과'!$G$2:$G$301,MATCH($A89,'전체 테스트 결과'!$F$2:$F$301,0)),"미구현")</f>
        <v/>
      </c>
      <c r="J89" s="9" t="inlineStr">
        <is>
          <t>통과</t>
        </is>
      </c>
    </row>
    <row r="90">
      <c r="A90" s="8" t="inlineStr">
        <is>
          <t>UI-G08</t>
        </is>
      </c>
      <c r="B90" s="8" t="inlineStr">
        <is>
          <t>단일</t>
        </is>
      </c>
      <c r="C90" s="8" t="inlineStr">
        <is>
          <t>천체 렌더러</t>
        </is>
      </c>
      <c r="D90" s="11" t="inlineStr">
        <is>
          <t>렌더링은 결정적(같은 입력 → 같은 결과)</t>
        </is>
      </c>
      <c r="E90" s="11" t="inlineStr">
        <is>
          <t>-</t>
        </is>
      </c>
      <c r="F90" s="11" t="inlineStr">
        <is>
          <t>같은 매개변수로 두 번 렌더링</t>
        </is>
      </c>
      <c r="G90" s="11" t="inlineStr">
        <is>
          <t>바이트 단위로 같다</t>
        </is>
      </c>
      <c r="H90" s="11" t="inlineStr">
        <is>
          <t>PlanetRendererTests.Render_IsDeterministic</t>
        </is>
      </c>
      <c r="I90" s="8">
        <f>IFERROR(INDEX('전체 테스트 결과'!$G$2:$G$301,MATCH($A90,'전체 테스트 결과'!$F$2:$F$301,0)),"미구현")</f>
        <v/>
      </c>
      <c r="J90" s="8" t="inlineStr">
        <is>
          <t>통과</t>
        </is>
      </c>
    </row>
    <row r="91">
      <c r="A91" s="9" t="inlineStr">
        <is>
          <t>UI-G09</t>
        </is>
      </c>
      <c r="B91" s="9" t="inlineStr">
        <is>
          <t>단일</t>
        </is>
      </c>
      <c r="C91" s="9" t="inlineStr">
        <is>
          <t>천체 렌더러</t>
        </is>
      </c>
      <c r="D91" s="12" t="inlineStr">
        <is>
          <t>대화형 사용이 가능한 속도</t>
        </is>
      </c>
      <c r="E91" s="12" t="inlineStr">
        <is>
          <t>-</t>
        </is>
      </c>
      <c r="F91" s="12" t="inlineStr">
        <is>
          <t>지구+달 420px 렌더링 시간 측정</t>
        </is>
      </c>
      <c r="G91" s="12" t="inlineStr">
        <is>
          <t>0.6초 이내</t>
        </is>
      </c>
      <c r="H91" s="12" t="inlineStr">
        <is>
          <t>PlanetRendererTests.Render_IsFastEnoughForInteractiveUse</t>
        </is>
      </c>
      <c r="I91" s="9">
        <f>IFERROR(INDEX('전체 테스트 결과'!$G$2:$G$301,MATCH($A91,'전체 테스트 결과'!$F$2:$F$301,0)),"미구현")</f>
        <v/>
      </c>
      <c r="J91" s="9" t="inlineStr">
        <is>
          <t>통과</t>
        </is>
      </c>
    </row>
    <row r="92">
      <c r="A92" s="8" t="inlineStr">
        <is>
          <t>UI-G10</t>
        </is>
      </c>
      <c r="B92" s="8" t="inlineStr">
        <is>
          <t>단일</t>
        </is>
      </c>
      <c r="C92" s="8" t="inlineStr">
        <is>
          <t>천체 렌더러</t>
        </is>
      </c>
      <c r="D92" s="11" t="inlineStr">
        <is>
          <t>육안 검토용 PNG 저장</t>
        </is>
      </c>
      <c r="E92" s="11" t="inlineStr">
        <is>
          <t>-</t>
        </is>
      </c>
      <c r="F92" s="11" t="inlineStr">
        <is>
          <t>지구, 초승달 지구, 달 이미지를 저장</t>
        </is>
      </c>
      <c r="G92" s="11" t="inlineStr">
        <is>
          <t>screenshots/scenes/*.png 생성</t>
        </is>
      </c>
      <c r="H92" s="11" t="inlineStr">
        <is>
          <t>PlanetRendererTests.SampleRenders_AreSavedAsPngForVisualReview</t>
        </is>
      </c>
      <c r="I92" s="8">
        <f>IFERROR(INDEX('전체 테스트 결과'!$G$2:$G$301,MATCH($A92,'전체 테스트 결과'!$F$2:$F$301,0)),"미구현")</f>
        <v/>
      </c>
      <c r="J92" s="8" t="inlineStr">
        <is>
          <t>통과</t>
        </is>
      </c>
    </row>
    <row r="93">
      <c r="A93" s="9" t="inlineStr">
        <is>
          <t>UI-G20</t>
        </is>
      </c>
      <c r="B93" s="9" t="inlineStr">
        <is>
          <t>단일</t>
        </is>
      </c>
      <c r="C93" s="9" t="inlineStr">
        <is>
          <t>미션 장면</t>
        </is>
      </c>
      <c r="D93" s="12" t="inlineStr">
        <is>
          <t>모든 키프레임의 장면 종류가 단계와 맞음</t>
        </is>
      </c>
      <c r="E93" s="12" t="inlineStr">
        <is>
          <t>-</t>
        </is>
      </c>
      <c r="F93" s="12" t="inlineStr">
        <is>
          <t>키프레임의 Scene을 확인</t>
        </is>
      </c>
      <c r="G93" s="12" t="inlineStr">
        <is>
          <t>발사/궤도/전이/궤도/하강/표면/상승/도킹/귀환/재진입/착수, 11가지가 모두 사용됨</t>
        </is>
      </c>
      <c r="H93" s="12" t="inlineStr">
        <is>
          <t>SceneRenderingTests.EveryKeyframe_HasASceneThatMatchesItsPhase</t>
        </is>
      </c>
      <c r="I93" s="9">
        <f>IFERROR(INDEX('전체 테스트 결과'!$G$2:$G$301,MATCH($A93,'전체 테스트 결과'!$F$2:$F$301,0)),"미구현")</f>
        <v/>
      </c>
      <c r="J93" s="9" t="inlineStr">
        <is>
          <t>통과</t>
        </is>
      </c>
    </row>
    <row r="94">
      <c r="A94" s="8" t="inlineStr">
        <is>
          <t>UI-G21</t>
        </is>
      </c>
      <c r="B94" s="8" t="inlineStr">
        <is>
          <t>단일</t>
        </is>
      </c>
      <c r="C94" s="8" t="inlineStr">
        <is>
          <t>미션 장면</t>
        </is>
      </c>
      <c r="D94" s="11" t="inlineStr">
        <is>
          <t>엔진 불꽃은 연소 구간에서만</t>
        </is>
      </c>
      <c r="E94" s="11" t="inlineStr">
        <is>
          <t>-</t>
        </is>
      </c>
      <c r="F94" s="11" t="inlineStr">
        <is>
          <t>여러 단계에서 EngineOn 계산</t>
        </is>
      </c>
      <c r="G94" s="11" t="inlineStr">
        <is>
          <t>발사·TLI·하강·상승은 켜짐, LOI는 앞 6분만, 궤도/전이/착륙은 꺼짐</t>
        </is>
      </c>
      <c r="H94" s="11" t="inlineStr">
        <is>
          <t>SceneRenderingTests.Context_EngineIsOnOnlyDuringBurns</t>
        </is>
      </c>
      <c r="I94" s="8">
        <f>IFERROR(INDEX('전체 테스트 결과'!$G$2:$G$301,MATCH($A94,'전체 테스트 결과'!$F$2:$F$301,0)),"미구현")</f>
        <v/>
      </c>
      <c r="J94" s="8" t="inlineStr">
        <is>
          <t>통과</t>
        </is>
      </c>
    </row>
    <row r="95">
      <c r="A95" s="9" t="inlineStr">
        <is>
          <t>UI-G22</t>
        </is>
      </c>
      <c r="B95" s="9" t="inlineStr">
        <is>
          <t>단일</t>
        </is>
      </c>
      <c r="C95" s="9" t="inlineStr">
        <is>
          <t>미션 장면</t>
        </is>
      </c>
      <c r="D95" s="12" t="inlineStr">
        <is>
          <t>지구↔달 여정 비율</t>
        </is>
      </c>
      <c r="E95" s="12" t="inlineStr">
        <is>
          <t>-</t>
        </is>
      </c>
      <c r="F95" s="12" t="inlineStr">
        <is>
          <t>TLI 종료 → 달 중력권 → 귀환 단계의 비율</t>
        </is>
      </c>
      <c r="G95" s="12" t="inlineStr">
        <is>
          <t>가는 길은 증가, 귀환 길은 감소</t>
        </is>
      </c>
      <c r="H95" s="12" t="inlineStr">
        <is>
          <t>SceneRenderingTests.Context_JourneyFractionGoesFromEarthToMoonAndBack</t>
        </is>
      </c>
      <c r="I95" s="9">
        <f>IFERROR(INDEX('전체 테스트 결과'!$G$2:$G$301,MATCH($A95,'전체 테스트 결과'!$F$2:$F$301,0)),"미구현")</f>
        <v/>
      </c>
      <c r="J95" s="9" t="inlineStr">
        <is>
          <t>통과</t>
        </is>
      </c>
    </row>
    <row r="96">
      <c r="A96" s="8" t="inlineStr">
        <is>
          <t>UI-G23</t>
        </is>
      </c>
      <c r="B96" s="8" t="inlineStr">
        <is>
          <t>단일</t>
        </is>
      </c>
      <c r="C96" s="8" t="inlineStr">
        <is>
          <t>미션 장면</t>
        </is>
      </c>
      <c r="D96" s="11" t="inlineStr">
        <is>
          <t>발사 설명 문구가 단 이름을 따라 바뀜</t>
        </is>
      </c>
      <c r="E96" s="11" t="inlineStr">
        <is>
          <t>-</t>
        </is>
      </c>
      <c r="F96" s="11" t="inlineStr">
        <is>
          <t>60초/300초/600초의 캡션</t>
        </is>
      </c>
      <c r="G96" s="11" t="inlineStr">
        <is>
          <t>S-IC → S-II → S-IVB</t>
        </is>
      </c>
      <c r="H96" s="11" t="inlineStr">
        <is>
          <t>SceneRenderingTests.Captions_DescribeTheStageOfTheLaunchVehicle</t>
        </is>
      </c>
      <c r="I96" s="8">
        <f>IFERROR(INDEX('전체 테스트 결과'!$G$2:$G$301,MATCH($A96,'전체 테스트 결과'!$F$2:$F$301,0)),"미구현")</f>
        <v/>
      </c>
      <c r="J96" s="8" t="inlineStr">
        <is>
          <t>통과</t>
        </is>
      </c>
    </row>
    <row r="97">
      <c r="A97" s="9" t="inlineStr">
        <is>
          <t>UI-G24</t>
        </is>
      </c>
      <c r="B97" s="9" t="inlineStr">
        <is>
          <t>복합</t>
        </is>
      </c>
      <c r="C97" s="9" t="inlineStr">
        <is>
          <t>미션 장면</t>
        </is>
      </c>
      <c r="D97" s="12" t="inlineStr">
        <is>
          <t>모든 단계의 장면이 비어 있지 않고 스크린샷 저장</t>
        </is>
      </c>
      <c r="E97" s="12" t="inlineStr">
        <is>
          <t>-</t>
        </is>
      </c>
      <c r="F97" s="12" t="inlineStr">
        <is>
          <t>27개 키프레임을 모두 렌더링</t>
        </is>
      </c>
      <c r="G97" s="12" t="inlineStr">
        <is>
          <t>각 장면이 단색이 아님, scene_NN_*.png 27장 저장</t>
        </is>
      </c>
      <c r="H97" s="12" t="inlineStr">
        <is>
          <t>SceneRenderingTests.EveryPhase_RendersANonBlankScene_AndSavesAScreenshot</t>
        </is>
      </c>
      <c r="I97" s="9">
        <f>IFERROR(INDEX('전체 테스트 결과'!$G$2:$G$301,MATCH($A97,'전체 테스트 결과'!$F$2:$F$301,0)),"미구현")</f>
        <v/>
      </c>
      <c r="J97" s="9" t="inlineStr">
        <is>
          <t>통과</t>
        </is>
      </c>
    </row>
    <row r="98">
      <c r="A98" s="8" t="inlineStr">
        <is>
          <t>UI-G25</t>
        </is>
      </c>
      <c r="B98" s="8" t="inlineStr">
        <is>
          <t>단일</t>
        </is>
      </c>
      <c r="C98" s="8" t="inlineStr">
        <is>
          <t>미션 장면</t>
        </is>
      </c>
      <c r="D98" s="11" t="inlineStr">
        <is>
          <t>발사: 주황 불꽃과 푸른 하늘</t>
        </is>
      </c>
      <c r="E98" s="11" t="inlineStr">
        <is>
          <t>-</t>
        </is>
      </c>
      <c r="F98" s="11" t="inlineStr">
        <is>
          <t>발사 단계 렌더링</t>
        </is>
      </c>
      <c r="G98" s="11" t="inlineStr">
        <is>
          <t>분사 불꽃 픽셀, 낮 하늘 픽셀</t>
        </is>
      </c>
      <c r="H98" s="11" t="inlineStr">
        <is>
          <t>SceneRenderingTests.Launch_ShowsOrangeExhaustAndABlueSkyNearTheGround</t>
        </is>
      </c>
      <c r="I98" s="8">
        <f>IFERROR(INDEX('전체 테스트 결과'!$G$2:$G$301,MATCH($A98,'전체 테스트 결과'!$F$2:$F$301,0)),"미구현")</f>
        <v/>
      </c>
      <c r="J98" s="8" t="inlineStr">
        <is>
          <t>통과</t>
        </is>
      </c>
    </row>
    <row r="99">
      <c r="A99" s="9" t="inlineStr">
        <is>
          <t>UI-G26</t>
        </is>
      </c>
      <c r="B99" s="9" t="inlineStr">
        <is>
          <t>단일</t>
        </is>
      </c>
      <c r="C99" s="9" t="inlineStr">
        <is>
          <t>미션 장면</t>
        </is>
      </c>
      <c r="D99" s="12" t="inlineStr">
        <is>
          <t>지구 궤도: 큰 푸른 지구</t>
        </is>
      </c>
      <c r="E99" s="12" t="inlineStr">
        <is>
          <t>-</t>
        </is>
      </c>
      <c r="F99" s="12" t="inlineStr">
        <is>
          <t>궤도 단계 렌더링</t>
        </is>
      </c>
      <c r="G99" s="12" t="inlineStr">
        <is>
          <t>푸른 픽셀이 화면의 상당 부분</t>
        </is>
      </c>
      <c r="H99" s="12" t="inlineStr">
        <is>
          <t>SceneRenderingTests.EarthOrbit_ShowsALargeBlueEarth</t>
        </is>
      </c>
      <c r="I99" s="9">
        <f>IFERROR(INDEX('전체 테스트 결과'!$G$2:$G$301,MATCH($A99,'전체 테스트 결과'!$F$2:$F$301,0)),"미구현")</f>
        <v/>
      </c>
      <c r="J99" s="9" t="inlineStr">
        <is>
          <t>통과</t>
        </is>
      </c>
    </row>
    <row r="100">
      <c r="A100" s="8" t="inlineStr">
        <is>
          <t>UI-G27</t>
        </is>
      </c>
      <c r="B100" s="8" t="inlineStr">
        <is>
          <t>단일</t>
        </is>
      </c>
      <c r="C100" s="8" t="inlineStr">
        <is>
          <t>미션 장면</t>
        </is>
      </c>
      <c r="D100" s="11" t="inlineStr">
        <is>
          <t>달 전이: 지구와 달이 함께 보이고 우주선이 궤적을 따라 이동</t>
        </is>
      </c>
      <c r="E100" s="11" t="inlineStr">
        <is>
          <t>-</t>
        </is>
      </c>
      <c r="F100" s="11" t="inlineStr">
        <is>
          <t>초기/후기 단계 비교</t>
        </is>
      </c>
      <c r="G100" s="11" t="inlineStr">
        <is>
          <t>지구(푸름)·달(회색) 픽셀, 두 장면이 서로 다름</t>
        </is>
      </c>
      <c r="H100" s="11" t="inlineStr">
        <is>
          <t>SceneRenderingTests.Journey_ShowsBothEarthAndMoon_AndTheSpacecraftMovesAlongTheTrajectory</t>
        </is>
      </c>
      <c r="I100" s="8">
        <f>IFERROR(INDEX('전체 테스트 결과'!$G$2:$G$301,MATCH($A100,'전체 테스트 결과'!$F$2:$F$301,0)),"미구현")</f>
        <v/>
      </c>
      <c r="J100" s="8" t="inlineStr">
        <is>
          <t>통과</t>
        </is>
      </c>
    </row>
    <row r="101">
      <c r="A101" s="9" t="inlineStr">
        <is>
          <t>UI-G28</t>
        </is>
      </c>
      <c r="B101" s="9" t="inlineStr">
        <is>
          <t>단일</t>
        </is>
      </c>
      <c r="C101" s="9" t="inlineStr">
        <is>
          <t>미션 장면</t>
        </is>
      </c>
      <c r="D101" s="12" t="inlineStr">
        <is>
          <t>하강: 회색 달 표면과 금색 착륙선</t>
        </is>
      </c>
      <c r="E101" s="12" t="inlineStr">
        <is>
          <t>-</t>
        </is>
      </c>
      <c r="F101" s="12" t="inlineStr">
        <is>
          <t>P64 단계 렌더링</t>
        </is>
      </c>
      <c r="G101" s="12" t="inlineStr">
        <is>
          <t>회색 지면 픽셀, 금색 포일 픽셀</t>
        </is>
      </c>
      <c r="H101" s="12" t="inlineStr">
        <is>
          <t>SceneRenderingTests.Descent_ShowsGrayLunarGroundAndTheLunarModule</t>
        </is>
      </c>
      <c r="I101" s="9">
        <f>IFERROR(INDEX('전체 테스트 결과'!$G$2:$G$301,MATCH($A101,'전체 테스트 결과'!$F$2:$F$301,0)),"미구현")</f>
        <v/>
      </c>
      <c r="J101" s="9" t="inlineStr">
        <is>
          <t>통과</t>
        </is>
      </c>
    </row>
    <row r="102">
      <c r="A102" s="8" t="inlineStr">
        <is>
          <t>UI-G29</t>
        </is>
      </c>
      <c r="B102" s="8" t="inlineStr">
        <is>
          <t>단일</t>
        </is>
      </c>
      <c r="C102" s="8" t="inlineStr">
        <is>
          <t>미션 장면</t>
        </is>
      </c>
      <c r="D102" s="11" t="inlineStr">
        <is>
          <t>표면: EVA 이후에만 성조기</t>
        </is>
      </c>
      <c r="E102" s="11" t="inlineStr">
        <is>
          <t>-</t>
        </is>
      </c>
      <c r="F102" s="11" t="inlineStr">
        <is>
          <t>착륙 직후와 EVA 렌더링</t>
        </is>
      </c>
      <c r="G102" s="11" t="inlineStr">
        <is>
          <t>착륙 직후 빨간 줄무늬 0, EVA는 있음</t>
        </is>
      </c>
      <c r="H102" s="11" t="inlineStr">
        <is>
          <t>SceneRenderingTests.Surface_BeforeAndAfterEva_ShowsFlagOnlyAfterEva</t>
        </is>
      </c>
      <c r="I102" s="8">
        <f>IFERROR(INDEX('전체 테스트 결과'!$G$2:$G$301,MATCH($A102,'전체 테스트 결과'!$F$2:$F$301,0)),"미구현")</f>
        <v/>
      </c>
      <c r="J102" s="8" t="inlineStr">
        <is>
          <t>통과</t>
        </is>
      </c>
    </row>
    <row r="103">
      <c r="A103" s="9" t="inlineStr">
        <is>
          <t>UI-G30</t>
        </is>
      </c>
      <c r="B103" s="9" t="inlineStr">
        <is>
          <t>단일</t>
        </is>
      </c>
      <c r="C103" s="9" t="inlineStr">
        <is>
          <t>미션 장면</t>
        </is>
      </c>
      <c r="D103" s="12" t="inlineStr">
        <is>
          <t>재진입: 플라스마가 최대 감속에서 가장 강함</t>
        </is>
      </c>
      <c r="E103" s="12" t="inlineStr">
        <is>
          <t>-</t>
        </is>
      </c>
      <c r="F103" s="12" t="inlineStr">
        <is>
          <t>재진입 시작과 최대 감속 비교</t>
        </is>
      </c>
      <c r="G103" s="12" t="inlineStr">
        <is>
          <t>최대 감속이 더 밝고 넓다(5000픽셀 이상)</t>
        </is>
      </c>
      <c r="H103" s="12" t="inlineStr">
        <is>
          <t>SceneRenderingTests.Entry_ShowsGlowingPlasma_StrongerAtPeakHeating</t>
        </is>
      </c>
      <c r="I103" s="9">
        <f>IFERROR(INDEX('전체 테스트 결과'!$G$2:$G$301,MATCH($A103,'전체 테스트 결과'!$F$2:$F$301,0)),"미구현")</f>
        <v/>
      </c>
      <c r="J103" s="9" t="inlineStr">
        <is>
          <t>통과</t>
        </is>
      </c>
    </row>
    <row r="104">
      <c r="A104" s="8" t="inlineStr">
        <is>
          <t>UI-G31</t>
        </is>
      </c>
      <c r="B104" s="8" t="inlineStr">
        <is>
          <t>단일</t>
        </is>
      </c>
      <c r="C104" s="8" t="inlineStr">
        <is>
          <t>미션 장면</t>
        </is>
      </c>
      <c r="D104" s="11" t="inlineStr">
        <is>
          <t>착수: 바다, 낙하산 줄무늬, 착수 후 장면</t>
        </is>
      </c>
      <c r="E104" s="11" t="inlineStr">
        <is>
          <t>-</t>
        </is>
      </c>
      <c r="F104" s="11" t="inlineStr">
        <is>
          <t>최종 강하와 착수 렌더링</t>
        </is>
      </c>
      <c r="G104" s="11" t="inlineStr">
        <is>
          <t>바다 픽셀, 주황 낙하산 픽셀</t>
        </is>
      </c>
      <c r="H104" s="11" t="inlineStr">
        <is>
          <t>SceneRenderingTests.Splashdown_ShowsOceanAndParachutesAboveAndFloatingCapsuleAtTheEnd</t>
        </is>
      </c>
      <c r="I104" s="8">
        <f>IFERROR(INDEX('전체 테스트 결과'!$G$2:$G$301,MATCH($A104,'전체 테스트 결과'!$F$2:$F$301,0)),"미구현")</f>
        <v/>
      </c>
      <c r="J104" s="8" t="inlineStr">
        <is>
          <t>통과</t>
        </is>
      </c>
    </row>
    <row r="105">
      <c r="A105" s="9" t="inlineStr">
        <is>
          <t>UI-G32</t>
        </is>
      </c>
      <c r="B105" s="9" t="inlineStr">
        <is>
          <t>단일</t>
        </is>
      </c>
      <c r="C105" s="9" t="inlineStr">
        <is>
          <t>미션 장면</t>
        </is>
      </c>
      <c r="D105" s="12" t="inlineStr">
        <is>
          <t>같은 상태·시간이면 같은 그림</t>
        </is>
      </c>
      <c r="E105" s="12" t="inlineStr">
        <is>
          <t>-</t>
        </is>
      </c>
      <c r="F105" s="12" t="inlineStr">
        <is>
          <t>PDI 장면을 두 번 렌더링</t>
        </is>
      </c>
      <c r="G105" s="12" t="inlineStr">
        <is>
          <t>픽셀이 같다</t>
        </is>
      </c>
      <c r="H105" s="12" t="inlineStr">
        <is>
          <t>SceneRenderingTests.Scene_IsDeterministicForTheSameStateAndTime</t>
        </is>
      </c>
      <c r="I105" s="9">
        <f>IFERROR(INDEX('전체 테스트 결과'!$G$2:$G$301,MATCH($A105,'전체 테스트 결과'!$F$2:$F$301,0)),"미구현")</f>
        <v/>
      </c>
      <c r="J105" s="9" t="inlineStr">
        <is>
          <t>통과</t>
        </is>
      </c>
    </row>
    <row r="106">
      <c r="A106" s="8" t="inlineStr">
        <is>
          <t>UI-G33</t>
        </is>
      </c>
      <c r="B106" s="8" t="inlineStr">
        <is>
          <t>단일</t>
        </is>
      </c>
      <c r="C106" s="8" t="inlineStr">
        <is>
          <t>미션 장면</t>
        </is>
      </c>
      <c r="D106" s="11" t="inlineStr">
        <is>
          <t>애니메이션이 가능한 렌더링 속도</t>
        </is>
      </c>
      <c r="E106" s="11" t="inlineStr">
        <is>
          <t>행성 캐시 준비</t>
        </is>
      </c>
      <c r="F106" s="11" t="inlineStr">
        <is>
          <t>27개 장면을 다시 렌더링</t>
        </is>
      </c>
      <c r="G106" s="11" t="inlineStr">
        <is>
          <t>장면 한 장 평균 120ms 미만</t>
        </is>
      </c>
      <c r="H106" s="11" t="inlineStr">
        <is>
          <t>SceneRenderingTests.EveryScene_RendersFastEnoughForAnimation</t>
        </is>
      </c>
      <c r="I106" s="8">
        <f>IFERROR(INDEX('전체 테스트 결과'!$G$2:$G$301,MATCH($A106,'전체 테스트 결과'!$F$2:$F$301,0)),"미구현")</f>
        <v/>
      </c>
      <c r="J106" s="8" t="inlineStr">
        <is>
          <t>통과</t>
        </is>
      </c>
    </row>
    <row r="107">
      <c r="A107" s="9" t="inlineStr">
        <is>
          <t>UI-U01</t>
        </is>
      </c>
      <c r="B107" s="9" t="inlineStr">
        <is>
          <t>복합</t>
        </is>
      </c>
      <c r="C107" s="9" t="inlineStr">
        <is>
          <t>단계 가이드 패널</t>
        </is>
      </c>
      <c r="D107" s="12" t="inlineStr">
        <is>
          <t>모든 단계에서 미션 설명·AGC 역할·모든 조작 단계가 보임</t>
        </is>
      </c>
      <c r="E107" s="12" t="inlineStr">
        <is>
          <t>창 생성</t>
        </is>
      </c>
      <c r="F107" s="12" t="inlineStr">
        <is>
          <t>단계 목록의 모든 단계를 차례로 선택</t>
        </is>
      </c>
      <c r="G107" s="12" t="inlineStr">
        <is>
          <t>단계 이름, 미션 설명, AGC 역할, 조작 단계 수가 데이터와 일치</t>
        </is>
      </c>
      <c r="H107" s="12" t="inlineStr">
        <is>
          <t>GuidePanelUiTests.EveryPhase_ShowsItsGuide_WithSummaryRoleAndAllSteps</t>
        </is>
      </c>
      <c r="I107" s="9">
        <f>IFERROR(INDEX('전체 테스트 결과'!$G$2:$G$301,MATCH($A107,'전체 테스트 결과'!$F$2:$F$301,0)),"미구현")</f>
        <v/>
      </c>
      <c r="J107" s="9" t="inlineStr">
        <is>
          <t>통과</t>
        </is>
      </c>
    </row>
    <row r="108">
      <c r="A108" s="8" t="inlineStr">
        <is>
          <t>UI-U02</t>
        </is>
      </c>
      <c r="B108" s="8" t="inlineStr">
        <is>
          <t>복합</t>
        </is>
      </c>
      <c r="C108" s="8" t="inlineStr">
        <is>
          <t>단계 가이드 패널</t>
        </is>
      </c>
      <c r="D108" s="11" t="inlineStr">
        <is>
          <t>모든 조작 단계에 조작·목적·영향이 표시</t>
        </is>
      </c>
      <c r="E108" s="11" t="inlineStr">
        <is>
          <t>창 생성</t>
        </is>
      </c>
      <c r="F108" s="11" t="inlineStr">
        <is>
          <t>모든 단계에서 라벨 수와 내용 확인</t>
        </is>
      </c>
      <c r="G108" s="11" t="inlineStr">
        <is>
          <t>조작/목적/영향 라벨이 단계 수만큼, 내용 포함</t>
        </is>
      </c>
      <c r="H108" s="11" t="inlineStr">
        <is>
          <t>GuidePanelUiTests.EveryStep_ShowsActionPurposeAndEffect</t>
        </is>
      </c>
      <c r="I108" s="8">
        <f>IFERROR(INDEX('전체 테스트 결과'!$G$2:$G$301,MATCH($A108,'전체 테스트 결과'!$F$2:$F$301,0)),"미구현")</f>
        <v/>
      </c>
      <c r="J108" s="8" t="inlineStr">
        <is>
          <t>통과</t>
        </is>
      </c>
    </row>
    <row r="109">
      <c r="A109" s="9" t="inlineStr">
        <is>
          <t>UI-U03</t>
        </is>
      </c>
      <c r="B109" s="9" t="inlineStr">
        <is>
          <t>복합</t>
        </is>
      </c>
      <c r="C109" s="9" t="inlineStr">
        <is>
          <t>단계 가이드 패널</t>
        </is>
      </c>
      <c r="D109" s="12" t="inlineStr">
        <is>
          <t>[실행] 버튼은 실행 가능한 단계에만, 나머지는 '시뮬레이터 미지원' 표시</t>
        </is>
      </c>
      <c r="E109" s="12" t="inlineStr">
        <is>
          <t>창 생성</t>
        </is>
      </c>
      <c r="F109" s="12" t="inlineStr">
        <is>
          <t>모든 단계에서 버튼 수와 미지원 표시 수 확인</t>
        </is>
      </c>
      <c r="G109" s="12" t="inlineStr">
        <is>
          <t>버튼 수 = Runnable 단계 수, 미지원 표시 수 = 실행 불가 DSKY 단계 수</t>
        </is>
      </c>
      <c r="H109" s="12" t="inlineStr">
        <is>
          <t>GuidePanelUiTests.RunButtons_ExistExactlyForRunnableSteps_AndOthersSayUnsupported</t>
        </is>
      </c>
      <c r="I109" s="9">
        <f>IFERROR(INDEX('전체 테스트 결과'!$G$2:$G$301,MATCH($A109,'전체 테스트 결과'!$F$2:$F$301,0)),"미구현")</f>
        <v/>
      </c>
      <c r="J109" s="9" t="inlineStr">
        <is>
          <t>통과</t>
        </is>
      </c>
    </row>
    <row r="110">
      <c r="A110" s="8" t="inlineStr">
        <is>
          <t>UI-U04</t>
        </is>
      </c>
      <c r="B110" s="8" t="inlineStr">
        <is>
          <t>복합</t>
        </is>
      </c>
      <c r="C110" s="8" t="inlineStr">
        <is>
          <t>단계 가이드 패널</t>
        </is>
      </c>
      <c r="D110" s="11" t="inlineStr">
        <is>
          <t>모든 [실행] 버튼이 DSKY에서 오류 없이 실행</t>
        </is>
      </c>
      <c r="E110" s="11" t="inlineStr">
        <is>
          <t>창 생성</t>
        </is>
      </c>
      <c r="F110" s="11" t="inlineStr">
        <is>
          <t>각 단계로 이동해 모든 [실행] 버튼 클릭</t>
        </is>
      </c>
      <c r="G110" s="11" t="inlineStr">
        <is>
          <t>OPR ERR 없음, 화면 형식 정상</t>
        </is>
      </c>
      <c r="H110" s="11" t="inlineStr">
        <is>
          <t>GuidePanelUiTests.RunButton_PressesTheKeysOnTheDsky_ForEveryRunnableStepWithoutError</t>
        </is>
      </c>
      <c r="I110" s="8">
        <f>IFERROR(INDEX('전체 테스트 결과'!$G$2:$G$301,MATCH($A110,'전체 테스트 결과'!$F$2:$F$301,0)),"미구현")</f>
        <v/>
      </c>
      <c r="J110" s="8" t="inlineStr">
        <is>
          <t>통과</t>
        </is>
      </c>
    </row>
    <row r="111">
      <c r="A111" s="9" t="inlineStr">
        <is>
          <t>UI-U05</t>
        </is>
      </c>
      <c r="B111" s="9" t="inlineStr">
        <is>
          <t>단일</t>
        </is>
      </c>
      <c r="C111" s="9" t="inlineStr">
        <is>
          <t>단계 가이드 패널</t>
        </is>
      </c>
      <c r="D111" s="12" t="inlineStr">
        <is>
          <t>PDI 가이드의 N63 [실행]이 하강 모니터를 띄움</t>
        </is>
      </c>
      <c r="E111" s="12" t="inlineStr">
        <is>
          <t>PDI 단계</t>
        </is>
      </c>
      <c r="F111" s="12" t="inlineStr">
        <is>
          <t>N63 단계의 [실행] 클릭</t>
        </is>
      </c>
      <c r="G111" s="12" t="inlineStr">
        <is>
          <t>NOUN 63, PROG 63, OPR ERR 없음</t>
        </is>
      </c>
      <c r="H111" s="12" t="inlineStr">
        <is>
          <t>GuidePanelUiTests.RunButton_OfTheN63Step_ShowsTheDescentMonitorOnTheDsky</t>
        </is>
      </c>
      <c r="I111" s="9">
        <f>IFERROR(INDEX('전체 테스트 결과'!$G$2:$G$301,MATCH($A111,'전체 테스트 결과'!$F$2:$F$301,0)),"미구현")</f>
        <v/>
      </c>
      <c r="J111" s="9" t="inlineStr">
        <is>
          <t>통과</t>
        </is>
      </c>
    </row>
    <row r="112">
      <c r="A112" s="8" t="inlineStr">
        <is>
          <t>UI-U06</t>
        </is>
      </c>
      <c r="B112" s="8" t="inlineStr">
        <is>
          <t>복합</t>
        </is>
      </c>
      <c r="C112" s="8" t="inlineStr">
        <is>
          <t>단계 가이드 패널</t>
        </is>
      </c>
      <c r="D112" s="11" t="inlineStr">
        <is>
          <t>가이드는 단계가 바뀔 때만 다시 그려짐</t>
        </is>
      </c>
      <c r="E112" s="11" t="inlineStr">
        <is>
          <t>PDI에서 재생</t>
        </is>
      </c>
      <c r="F112" s="11" t="inlineStr">
        <is>
          <t>2초 재생 후 같은 버튼 유지, P64로 넘어가면 교체</t>
        </is>
      </c>
      <c r="G112" s="11" t="inlineStr">
        <is>
          <t>같은 단계에서는 동일, 단계가 바뀌면 새 가이드</t>
        </is>
      </c>
      <c r="H112" s="11" t="inlineStr">
        <is>
          <t>GuidePanelUiTests.Guide_IsRebuiltOnlyWhenThePhaseChanges_NotEveryTick</t>
        </is>
      </c>
      <c r="I112" s="8">
        <f>IFERROR(INDEX('전체 테스트 결과'!$G$2:$G$301,MATCH($A112,'전체 테스트 결과'!$F$2:$F$301,0)),"미구현")</f>
        <v/>
      </c>
      <c r="J112" s="8" t="inlineStr">
        <is>
          <t>통과</t>
        </is>
      </c>
    </row>
    <row r="113">
      <c r="A113" s="9" t="inlineStr">
        <is>
          <t>UI-U07</t>
        </is>
      </c>
      <c r="B113" s="9" t="inlineStr">
        <is>
          <t>단일</t>
        </is>
      </c>
      <c r="C113" s="9" t="inlineStr">
        <is>
          <t>단계 가이드 패널</t>
        </is>
      </c>
      <c r="D113" s="12" t="inlineStr">
        <is>
          <t>동력 하강 가이드가 1201/1202 알람을 설명</t>
        </is>
      </c>
      <c r="E113" s="12" t="inlineStr">
        <is>
          <t>창 생성</t>
        </is>
      </c>
      <c r="F113" s="12" t="inlineStr">
        <is>
          <t>PDI와 P64 가이드 텍스트 확인</t>
        </is>
      </c>
      <c r="G113" s="12" t="inlineStr">
        <is>
          <t>1202, 1201, PROG, 알람 코드 읽기 키(VERB 0 5 NOUN 0 9 ENTR) 포함</t>
        </is>
      </c>
      <c r="H113" s="12" t="inlineStr">
        <is>
          <t>GuidePanelUiTests.PoweredDescentGuide_ExplainsTheProgramAlarms</t>
        </is>
      </c>
      <c r="I113" s="9">
        <f>IFERROR(INDEX('전체 테스트 결과'!$G$2:$G$301,MATCH($A113,'전체 테스트 결과'!$F$2:$F$301,0)),"미구현")</f>
        <v/>
      </c>
      <c r="J113" s="9" t="inlineStr">
        <is>
          <t>통과</t>
        </is>
      </c>
    </row>
    <row r="114">
      <c r="A114" s="8" t="inlineStr">
        <is>
          <t>UI-U08</t>
        </is>
      </c>
      <c r="B114" s="8" t="inlineStr">
        <is>
          <t>실제 창</t>
        </is>
      </c>
      <c r="C114" s="8" t="inlineStr">
        <is>
          <t>단계 가이드 패널</t>
        </is>
      </c>
      <c r="D114" s="11" t="inlineStr">
        <is>
          <t>가이드는 장면 아래 오른쪽 절반, 최소 크기 유지</t>
        </is>
      </c>
      <c r="E114" s="11" t="inlineStr">
        <is>
          <t>창을 Show()</t>
        </is>
      </c>
      <c r="F114" s="11" t="inlineStr">
        <is>
          <t>1600×980, 1100×700, 1920×1080에서 위치/크기 측정</t>
        </is>
      </c>
      <c r="G114" s="11" t="inlineStr">
        <is>
          <t>창 안, 오른쪽 절반, 장면 아래, 가이드 높이 ≥140, 장면 높이 ≥200</t>
        </is>
      </c>
      <c r="H114" s="11" t="inlineStr">
        <is>
          <t>GuidePanelUiTests.Layout_GuideSitsBelowTheScene_InTheRightHalf_AndKeepsItsMinimumSizes</t>
        </is>
      </c>
      <c r="I114" s="8">
        <f>IFERROR(INDEX('전체 테스트 결과'!$G$2:$G$301,MATCH($A114,'전체 테스트 결과'!$F$2:$F$301,0)),"미구현")</f>
        <v/>
      </c>
      <c r="J114" s="8" t="inlineStr">
        <is>
          <t>통과</t>
        </is>
      </c>
    </row>
    <row r="115">
      <c r="A115" s="9" t="inlineStr">
        <is>
          <t>UI-U09</t>
        </is>
      </c>
      <c r="B115" s="9" t="inlineStr">
        <is>
          <t>실제 창</t>
        </is>
      </c>
      <c r="C115" s="9" t="inlineStr">
        <is>
          <t>단계 가이드 패널</t>
        </is>
      </c>
      <c r="D115" s="12" t="inlineStr">
        <is>
          <t>스크롤 가능하고 새 단계는 맨 위부터</t>
        </is>
      </c>
      <c r="E115" s="12" t="inlineStr">
        <is>
          <t>창을 Show()</t>
        </is>
      </c>
      <c r="F115" s="12" t="inlineStr">
        <is>
          <t>PDI 가이드를 끝까지 스크롤 → P64로 이동</t>
        </is>
      </c>
      <c r="G115" s="12" t="inlineStr">
        <is>
          <t>스크롤 높이 &gt; 0, 이동 후 오프셋 0</t>
        </is>
      </c>
      <c r="H115" s="12" t="inlineStr">
        <is>
          <t>GuidePanelUiTests.GuideCanBeScrolled_AndStartsAtTheTopWhenThePhaseChanges</t>
        </is>
      </c>
      <c r="I115" s="9">
        <f>IFERROR(INDEX('전체 테스트 결과'!$G$2:$G$301,MATCH($A115,'전체 테스트 결과'!$F$2:$F$301,0)),"미구현")</f>
        <v/>
      </c>
      <c r="J115" s="9" t="inlineStr">
        <is>
          <t>통과</t>
        </is>
      </c>
    </row>
    <row r="116">
      <c r="A116" s="8" t="inlineStr">
        <is>
          <t>UI-P01</t>
        </is>
      </c>
      <c r="B116" s="8" t="inlineStr">
        <is>
          <t>단일</t>
        </is>
      </c>
      <c r="C116" s="8" t="inlineStr">
        <is>
          <t>DSKY 화면 컨트롤</t>
        </is>
      </c>
      <c r="D116" s="11" t="inlineStr">
        <is>
          <t>7-세그먼트: 8이 1보다 더 많이 켜짐</t>
        </is>
      </c>
      <c r="E116" s="11" t="inlineStr">
        <is>
          <t>-</t>
        </is>
      </c>
      <c r="F116" s="11" t="inlineStr">
        <is>
          <t>'8'과 '1'을 그린다</t>
        </is>
      </c>
      <c r="G116" s="11" t="inlineStr">
        <is>
          <t>8의 켜진 픽셀이 1의 2배 이상</t>
        </is>
      </c>
      <c r="H116" s="11" t="inlineStr">
        <is>
          <t>DskyPanelUiTests.SegmentDisplay_Digit8_LightsMoreThanDigit1</t>
        </is>
      </c>
      <c r="I116" s="8">
        <f>IFERROR(INDEX('전체 테스트 결과'!$G$2:$G$301,MATCH($A116,'전체 테스트 결과'!$F$2:$F$301,0)),"미구현")</f>
        <v/>
      </c>
      <c r="J116" s="8" t="inlineStr">
        <is>
          <t>통과</t>
        </is>
      </c>
    </row>
    <row r="117">
      <c r="A117" s="9" t="inlineStr">
        <is>
          <t>UI-P02</t>
        </is>
      </c>
      <c r="B117" s="9" t="inlineStr">
        <is>
          <t>단일</t>
        </is>
      </c>
      <c r="C117" s="9" t="inlineStr">
        <is>
          <t>DSKY 화면 컨트롤</t>
        </is>
      </c>
      <c r="D117" s="12" t="inlineStr">
        <is>
          <t>7-세그먼트: 공백은 아무것도 안 켜짐</t>
        </is>
      </c>
      <c r="E117" s="12" t="inlineStr">
        <is>
          <t>-</t>
        </is>
      </c>
      <c r="F117" s="12" t="inlineStr">
        <is>
          <t>공백 3칸을 그린다</t>
        </is>
      </c>
      <c r="G117" s="12" t="inlineStr">
        <is>
          <t>켜진 픽셀 0</t>
        </is>
      </c>
      <c r="H117" s="12" t="inlineStr">
        <is>
          <t>DskyPanelUiTests.SegmentDisplay_BlankText_LightsNothing</t>
        </is>
      </c>
      <c r="I117" s="9">
        <f>IFERROR(INDEX('전체 테스트 결과'!$G$2:$G$301,MATCH($A117,'전체 테스트 결과'!$F$2:$F$301,0)),"미구현")</f>
        <v/>
      </c>
      <c r="J117" s="9" t="inlineStr">
        <is>
          <t>통과</t>
        </is>
      </c>
    </row>
    <row r="118">
      <c r="A118" s="8" t="inlineStr">
        <is>
          <t>UI-P03</t>
        </is>
      </c>
      <c r="B118" s="8" t="inlineStr">
        <is>
          <t>단일</t>
        </is>
      </c>
      <c r="C118" s="8" t="inlineStr">
        <is>
          <t>DSKY 화면 컨트롤</t>
        </is>
      </c>
      <c r="D118" s="11" t="inlineStr">
        <is>
          <t>7-세그먼트: + 가 - 보다 더 켜짐</t>
        </is>
      </c>
      <c r="E118" s="11" t="inlineStr">
        <is>
          <t>-</t>
        </is>
      </c>
      <c r="F118" s="11" t="inlineStr">
        <is>
          <t>'+'와 '-'를 그린다</t>
        </is>
      </c>
      <c r="G118" s="11" t="inlineStr">
        <is>
          <t>+ 의 켜진 픽셀이 더 많다</t>
        </is>
      </c>
      <c r="H118" s="11" t="inlineStr">
        <is>
          <t>DskyPanelUiTests.SegmentDisplay_PlusLightsMoreThanMinus</t>
        </is>
      </c>
      <c r="I118" s="8">
        <f>IFERROR(INDEX('전체 테스트 결과'!$G$2:$G$301,MATCH($A118,'전체 테스트 결과'!$F$2:$F$301,0)),"미구현")</f>
        <v/>
      </c>
      <c r="J118" s="8" t="inlineStr">
        <is>
          <t>통과</t>
        </is>
      </c>
    </row>
    <row r="119">
      <c r="A119" s="9" t="inlineStr">
        <is>
          <t>UI-P04</t>
        </is>
      </c>
      <c r="B119" s="9" t="inlineStr">
        <is>
          <t>단일</t>
        </is>
      </c>
      <c r="C119" s="9" t="inlineStr">
        <is>
          <t>DSKY 화면 컨트롤</t>
        </is>
      </c>
      <c r="D119" s="12" t="inlineStr">
        <is>
          <t>패널이 표시 값을 모든 창에 반영</t>
        </is>
      </c>
      <c r="E119" s="12" t="inlineStr">
        <is>
          <t>패널 생성</t>
        </is>
      </c>
      <c r="F119" s="12" t="inlineStr">
        <is>
          <t>Display를 설정한다</t>
        </is>
      </c>
      <c r="G119" s="12" t="inlineStr">
        <is>
          <t>PROG/VERB/NOUN/R1~R3 텍스트 일치</t>
        </is>
      </c>
      <c r="H119" s="12" t="inlineStr">
        <is>
          <t>DskyPanelUiTests.Panel_Display_UpdatesAllSegmentWindows</t>
        </is>
      </c>
      <c r="I119" s="9">
        <f>IFERROR(INDEX('전체 테스트 결과'!$G$2:$G$301,MATCH($A119,'전체 테스트 결과'!$F$2:$F$301,0)),"미구현")</f>
        <v/>
      </c>
      <c r="J119" s="9" t="inlineStr">
        <is>
          <t>통과</t>
        </is>
      </c>
    </row>
    <row r="120">
      <c r="A120" s="8" t="inlineStr">
        <is>
          <t>UI-P05</t>
        </is>
      </c>
      <c r="B120" s="8" t="inlineStr">
        <is>
          <t>단일</t>
        </is>
      </c>
      <c r="C120" s="8" t="inlineStr">
        <is>
          <t>DSKY 화면 컨트롤</t>
        </is>
      </c>
      <c r="D120" s="11" t="inlineStr">
        <is>
          <t>램프 점등색(왼쪽 흰색/오른쪽 호박색/COMP ACTY 녹색)</t>
        </is>
      </c>
      <c r="E120" s="11" t="inlineStr">
        <is>
          <t>패널 생성</t>
        </is>
      </c>
      <c r="F120" s="11" t="inlineStr">
        <is>
          <t>램프를 켜고 바탕색을 비교</t>
        </is>
      </c>
      <c r="G120" s="11" t="inlineStr">
        <is>
          <t>PROG=호박, OPR ERR=흰색, COMP ACTY=녹색, 안 켠 램프는 그대로</t>
        </is>
      </c>
      <c r="H120" s="11" t="inlineStr">
        <is>
          <t>DskyPanelUiTests.Panel_Lamps_LitColorsFollowRealDsky</t>
        </is>
      </c>
      <c r="I120" s="8">
        <f>IFERROR(INDEX('전체 테스트 결과'!$G$2:$G$301,MATCH($A120,'전체 테스트 결과'!$F$2:$F$301,0)),"미구현")</f>
        <v/>
      </c>
      <c r="J120" s="8" t="inlineStr">
        <is>
          <t>통과</t>
        </is>
      </c>
    </row>
    <row r="121">
      <c r="A121" s="9" t="inlineStr">
        <is>
          <t>UI-P06</t>
        </is>
      </c>
      <c r="B121" s="9" t="inlineStr">
        <is>
          <t>단일</t>
        </is>
      </c>
      <c r="C121" s="9" t="inlineStr">
        <is>
          <t>DSKY 화면 컨트롤</t>
        </is>
      </c>
      <c r="D121" s="12" t="inlineStr">
        <is>
          <t>V/N 깜박임은 요청이 있을 때만</t>
        </is>
      </c>
      <c r="E121" s="12" t="inlineStr">
        <is>
          <t>패널 생성</t>
        </is>
      </c>
      <c r="F121" s="12" t="inlineStr">
        <is>
          <t>깜박임 표시를 설정하고 위상을 넘긴다</t>
        </is>
      </c>
      <c r="G121" s="12" t="inlineStr">
        <is>
          <t>VERB/NOUN만 꺼졌다 켜지고 PROG·레지스터는 항상 켜짐</t>
        </is>
      </c>
      <c r="H121" s="12" t="inlineStr">
        <is>
          <t>DskyPanelUiTests.Flash_VerbAndNounBlinkOnlyWhenDisplayRequestsIt</t>
        </is>
      </c>
      <c r="I121" s="9">
        <f>IFERROR(INDEX('전체 테스트 결과'!$G$2:$G$301,MATCH($A121,'전체 테스트 결과'!$F$2:$F$301,0)),"미구현")</f>
        <v/>
      </c>
      <c r="J121" s="9" t="inlineStr">
        <is>
          <t>통과</t>
        </is>
      </c>
    </row>
    <row r="122">
      <c r="A122" s="8" t="inlineStr">
        <is>
          <t>UI-P07</t>
        </is>
      </c>
      <c r="B122" s="8" t="inlineStr">
        <is>
          <t>단일</t>
        </is>
      </c>
      <c r="C122" s="8" t="inlineStr">
        <is>
          <t>DSKY 화면 컨트롤</t>
        </is>
      </c>
      <c r="D122" s="11" t="inlineStr">
        <is>
          <t>깜박임 종료 시 즉시 복귀</t>
        </is>
      </c>
      <c r="E122" s="11" t="inlineStr">
        <is>
          <t>깜박임 꺼진 위상</t>
        </is>
      </c>
      <c r="F122" s="11" t="inlineStr">
        <is>
          <t>깜박이지 않는 표시로 교체</t>
        </is>
      </c>
      <c r="G122" s="11" t="inlineStr">
        <is>
          <t>다시 켜지고 이후 위상 변화에도 켜져 있다</t>
        </is>
      </c>
      <c r="H122" s="11" t="inlineStr">
        <is>
          <t>DskyPanelUiTests.Flash_StopsAndStaysVisibleWhenFlashingEnds</t>
        </is>
      </c>
      <c r="I122" s="8">
        <f>IFERROR(INDEX('전체 테스트 결과'!$G$2:$G$301,MATCH($A122,'전체 테스트 결과'!$F$2:$F$301,0)),"미구현")</f>
        <v/>
      </c>
      <c r="J122" s="8" t="inlineStr">
        <is>
          <t>통과</t>
        </is>
      </c>
    </row>
    <row r="123">
      <c r="A123" s="9" t="inlineStr">
        <is>
          <t>UI-P08</t>
        </is>
      </c>
      <c r="B123" s="9" t="inlineStr">
        <is>
          <t>단일</t>
        </is>
      </c>
      <c r="C123" s="9" t="inlineStr">
        <is>
          <t>DSKY 화면 컨트롤</t>
        </is>
      </c>
      <c r="D123" s="12" t="inlineStr">
        <is>
          <t>램프 패널 2열×14칸 순서(실제 배열)</t>
        </is>
      </c>
      <c r="E123" s="12" t="inlineStr">
        <is>
          <t>패널 생성</t>
        </is>
      </c>
      <c r="F123" s="12" t="inlineStr">
        <is>
          <t>램프 칸의 라벨을 읽는다</t>
        </is>
      </c>
      <c r="G123" s="12" t="inlineStr">
        <is>
          <t>UPLINK ACTY, TEMP, NO ATT, GIMBAL LOCK … OPR ERR, TRACKER, 빈 칸, ALT, 빈 칸, VEL</t>
        </is>
      </c>
      <c r="H123" s="12" t="inlineStr">
        <is>
          <t>DskyPanelUiTests.Layout_LampPanel_HasRealTwoByFourteenOrder</t>
        </is>
      </c>
      <c r="I123" s="9">
        <f>IFERROR(INDEX('전체 테스트 결과'!$G$2:$G$301,MATCH($A123,'전체 테스트 결과'!$F$2:$F$301,0)),"미구현")</f>
        <v/>
      </c>
      <c r="J123" s="9" t="inlineStr">
        <is>
          <t>통과</t>
        </is>
      </c>
    </row>
    <row r="124">
      <c r="A124" s="8" t="inlineStr">
        <is>
          <t>UI-P09</t>
        </is>
      </c>
      <c r="B124" s="8" t="inlineStr">
        <is>
          <t>단일</t>
        </is>
      </c>
      <c r="C124" s="8" t="inlineStr">
        <is>
          <t>DSKY 화면 컨트롤</t>
        </is>
      </c>
      <c r="D124" s="11" t="inlineStr">
        <is>
          <t>숫자 표시 5줄 순서</t>
        </is>
      </c>
      <c r="E124" s="11" t="inlineStr">
        <is>
          <t>패널 생성</t>
        </is>
      </c>
      <c r="F124" s="11" t="inlineStr">
        <is>
          <t>각 창의 위치를 측정</t>
        </is>
      </c>
      <c r="G124" s="11" t="inlineStr">
        <is>
          <t>COMP ACTY가 PROG 왼쪽, VERB/NOUN이 아래, R1·R2·R3가 차례로 아래</t>
        </is>
      </c>
      <c r="H124" s="11" t="inlineStr">
        <is>
          <t>DskyPanelUiTests.Layout_DisplayPanel_HasFiveLinesInRealOrder</t>
        </is>
      </c>
      <c r="I124" s="8">
        <f>IFERROR(INDEX('전체 테스트 결과'!$G$2:$G$301,MATCH($A124,'전체 테스트 결과'!$F$2:$F$301,0)),"미구현")</f>
        <v/>
      </c>
      <c r="J124" s="8" t="inlineStr">
        <is>
          <t>통과</t>
        </is>
      </c>
    </row>
    <row r="125">
      <c r="A125" s="9" t="inlineStr">
        <is>
          <t>UI-P10</t>
        </is>
      </c>
      <c r="B125" s="9" t="inlineStr">
        <is>
          <t>단일</t>
        </is>
      </c>
      <c r="C125" s="9" t="inlineStr">
        <is>
          <t>DSKY 화면 컨트롤</t>
        </is>
      </c>
      <c r="D125" s="12" t="inlineStr">
        <is>
          <t>키패드 19키 좌표(7열, 반 칸 오프셋)</t>
        </is>
      </c>
      <c r="E125" s="12" t="inlineStr">
        <is>
          <t>패널 생성</t>
        </is>
      </c>
      <c r="F125" s="12" t="inlineStr">
        <is>
          <t>버튼의 행/열/행폭을 읽는다</t>
        </is>
      </c>
      <c r="G125" s="12" t="inlineStr">
        <is>
          <t>실제 배치와 일치, VERB/NOUN과 ENTR/RSET이 3행 중앙에 걸침</t>
        </is>
      </c>
      <c r="H125" s="12" t="inlineStr">
        <is>
          <t>DskyPanelUiTests.Layout_Keypad_HasNineteenKeysInSevenColumnsWithHalfRowOffsets</t>
        </is>
      </c>
      <c r="I125" s="9">
        <f>IFERROR(INDEX('전체 테스트 결과'!$G$2:$G$301,MATCH($A125,'전체 테스트 결과'!$F$2:$F$301,0)),"미구현")</f>
        <v/>
      </c>
      <c r="J125" s="9" t="inlineStr">
        <is>
          <t>통과</t>
        </is>
      </c>
    </row>
    <row r="126">
      <c r="A126" s="8" t="inlineStr">
        <is>
          <t>UI-P11</t>
        </is>
      </c>
      <c r="B126" s="8" t="inlineStr">
        <is>
          <t>단일</t>
        </is>
      </c>
      <c r="C126" s="8" t="inlineStr">
        <is>
          <t>DSKY 화면 컨트롤</t>
        </is>
      </c>
      <c r="D126" s="11" t="inlineStr">
        <is>
          <t>키가 정사각형</t>
        </is>
      </c>
      <c r="E126" s="11" t="inlineStr">
        <is>
          <t>패널 생성</t>
        </is>
      </c>
      <c r="F126" s="11" t="inlineStr">
        <is>
          <t>버튼 폭/높이 비교</t>
        </is>
      </c>
      <c r="G126" s="11" t="inlineStr">
        <is>
          <t>차이 1px 이내</t>
        </is>
      </c>
      <c r="H126" s="11" t="inlineStr">
        <is>
          <t>DskyPanelUiTests.Layout_Keys_AreSquareWithinTheirCells</t>
        </is>
      </c>
      <c r="I126" s="8">
        <f>IFERROR(INDEX('전체 테스트 결과'!$G$2:$G$301,MATCH($A126,'전체 테스트 결과'!$F$2:$F$301,0)),"미구현")</f>
        <v/>
      </c>
      <c r="J126" s="8" t="inlineStr">
        <is>
          <t>통과</t>
        </is>
      </c>
    </row>
    <row r="127">
      <c r="A127" s="9" t="inlineStr">
        <is>
          <t>UI-P12</t>
        </is>
      </c>
      <c r="B127" s="9" t="inlineStr">
        <is>
          <t>단일</t>
        </is>
      </c>
      <c r="C127" s="9" t="inlineStr">
        <is>
          <t>DSKY 화면 컨트롤</t>
        </is>
      </c>
      <c r="D127" s="12" t="inlineStr">
        <is>
          <t>버튼 19개가 각자 맞는 DskyKey 발생</t>
        </is>
      </c>
      <c r="E127" s="12" t="inlineStr">
        <is>
          <t>패널 생성</t>
        </is>
      </c>
      <c r="F127" s="12" t="inlineStr">
        <is>
          <t>모든 버튼을 클릭</t>
        </is>
      </c>
      <c r="G127" s="12" t="inlineStr">
        <is>
          <t>라벨에 대응하는 키 이벤트</t>
        </is>
      </c>
      <c r="H127" s="12" t="inlineStr">
        <is>
          <t>DskyPanelUiTests.Panel_Keypad_EveryButtonRaisesItsKey</t>
        </is>
      </c>
      <c r="I127" s="9">
        <f>IFERROR(INDEX('전체 테스트 결과'!$G$2:$G$301,MATCH($A127,'전체 테스트 결과'!$F$2:$F$301,0)),"미구현")</f>
        <v/>
      </c>
      <c r="J127" s="9" t="inlineStr">
        <is>
          <t>통과</t>
        </is>
      </c>
    </row>
    <row r="128">
      <c r="A128" s="8" t="inlineStr">
        <is>
          <t>UI-P13</t>
        </is>
      </c>
      <c r="B128" s="8" t="inlineStr">
        <is>
          <t>단일</t>
        </is>
      </c>
      <c r="C128" s="8" t="inlineStr">
        <is>
          <t>DSKY 화면 컨트롤</t>
        </is>
      </c>
      <c r="D128" s="11" t="inlineStr">
        <is>
          <t>버튼이 키보드 포커스를 뺏지 않음</t>
        </is>
      </c>
      <c r="E128" s="11" t="inlineStr">
        <is>
          <t>패널 생성</t>
        </is>
      </c>
      <c r="F128" s="11" t="inlineStr">
        <is>
          <t>버튼 Focusable 확인</t>
        </is>
      </c>
      <c r="G128" s="11" t="inlineStr">
        <is>
          <t>모두 false</t>
        </is>
      </c>
      <c r="H128" s="11" t="inlineStr">
        <is>
          <t>DskyPanelUiTests.Panel_Keypad_ButtonsDoNotStealKeyboardFocus</t>
        </is>
      </c>
      <c r="I128" s="8">
        <f>IFERROR(INDEX('전체 테스트 결과'!$G$2:$G$301,MATCH($A128,'전체 테스트 결과'!$F$2:$F$301,0)),"미구현")</f>
        <v/>
      </c>
      <c r="J128" s="8" t="inlineStr">
        <is>
          <t>통과</t>
        </is>
      </c>
    </row>
    <row r="129">
      <c r="A129" s="9" t="inlineStr">
        <is>
          <t>UI-P14</t>
        </is>
      </c>
      <c r="B129" s="9" t="inlineStr">
        <is>
          <t>단일</t>
        </is>
      </c>
      <c r="C129" s="9" t="inlineStr">
        <is>
          <t>DSKY 화면 컨트롤</t>
        </is>
      </c>
      <c r="D129" s="12" t="inlineStr">
        <is>
          <t>값이 있는 곳에만 세그먼트가 켜짐(픽셀)</t>
        </is>
      </c>
      <c r="E129" s="12" t="inlineStr">
        <is>
          <t>패널 생성</t>
        </is>
      </c>
      <c r="F129" s="12" t="inlineStr">
        <is>
          <t>값 표시 → 공백 → 다시 값으로 렌더링</t>
        </is>
      </c>
      <c r="G129" s="12" t="inlineStr">
        <is>
          <t>R1 영역 켜진 픽셀 &gt;100 → 0 (스냅샷 PNG 저장)</t>
        </is>
      </c>
      <c r="H129" s="12" t="inlineStr">
        <is>
          <t>DskyPanelUiTests.Panel_FullDisplay_LitSegmentsAppearOnlyWhereValuesAreShown</t>
        </is>
      </c>
      <c r="I129" s="9">
        <f>IFERROR(INDEX('전체 테스트 결과'!$G$2:$G$301,MATCH($A129,'전체 테스트 결과'!$F$2:$F$301,0)),"미구현")</f>
        <v/>
      </c>
      <c r="J129" s="9" t="inlineStr">
        <is>
          <t>통과</t>
        </is>
      </c>
    </row>
    <row r="130">
      <c r="A130" s="8" t="inlineStr">
        <is>
          <t>UI-W01</t>
        </is>
      </c>
      <c r="B130" s="8" t="inlineStr">
        <is>
          <t>단일</t>
        </is>
      </c>
      <c r="C130" s="8" t="inlineStr">
        <is>
          <t>메인 창</t>
        </is>
      </c>
      <c r="D130" s="11" t="inlineStr">
        <is>
          <t>미션 끝에서 ▶는 처음부터 재생</t>
        </is>
      </c>
      <c r="E130" s="11" t="inlineStr">
        <is>
          <t>슬라이더 끝</t>
        </is>
      </c>
      <c r="F130" s="11" t="inlineStr">
        <is>
          <t>▶ 클릭</t>
        </is>
      </c>
      <c r="G130" s="11" t="inlineStr">
        <is>
          <t>MET 000:00:00에서 재생 상태</t>
        </is>
      </c>
      <c r="H130" s="11" t="inlineStr">
        <is>
          <t>MainWindowUiTests.Play_AfterMissionEnd_RestartsFromTheBeginning</t>
        </is>
      </c>
      <c r="I130" s="8">
        <f>IFERROR(INDEX('전체 테스트 결과'!$G$2:$G$301,MATCH($A130,'전체 테스트 결과'!$F$2:$F$301,0)),"미구현")</f>
        <v/>
      </c>
      <c r="J130" s="8" t="inlineStr">
        <is>
          <t>통과</t>
        </is>
      </c>
    </row>
    <row r="131">
      <c r="A131" s="9" t="inlineStr">
        <is>
          <t>UI-W02</t>
        </is>
      </c>
      <c r="B131" s="9" t="inlineStr">
        <is>
          <t>단일</t>
        </is>
      </c>
      <c r="C131" s="9" t="inlineStr">
        <is>
          <t>메인 창</t>
        </is>
      </c>
      <c r="D131" s="12" t="inlineStr">
        <is>
          <t>슬라이더 이동 시 단계 목록이 현재 단계를 가리킴</t>
        </is>
      </c>
      <c r="E131" s="12" t="inlineStr">
        <is>
          <t>창 생성</t>
        </is>
      </c>
      <c r="F131" s="12" t="inlineStr">
        <is>
          <t>슬라이더를 102:34:00으로</t>
        </is>
      </c>
      <c r="G131" s="12" t="inlineStr">
        <is>
          <t>단계 목록 선택 = PDI</t>
        </is>
      </c>
      <c r="H131" s="12" t="inlineStr">
        <is>
          <t>MainWindowUiTests.PhaseBox_FollowsTheMissionPosition</t>
        </is>
      </c>
      <c r="I131" s="9">
        <f>IFERROR(INDEX('전체 테스트 결과'!$G$2:$G$301,MATCH($A131,'전체 테스트 결과'!$F$2:$F$301,0)),"미구현")</f>
        <v/>
      </c>
      <c r="J131" s="9" t="inlineStr">
        <is>
          <t>통과</t>
        </is>
      </c>
    </row>
    <row r="132">
      <c r="A132" s="8" t="inlineStr">
        <is>
          <t>UI-W03</t>
        </is>
      </c>
      <c r="B132" s="8" t="inlineStr">
        <is>
          <t>단일</t>
        </is>
      </c>
      <c r="C132" s="8" t="inlineStr">
        <is>
          <t>메인 창</t>
        </is>
      </c>
      <c r="D132" s="11" t="inlineStr">
        <is>
          <t>같은 단계를 다시 골라도 이동</t>
        </is>
      </c>
      <c r="E132" s="11" t="inlineStr">
        <is>
          <t>창 생성</t>
        </is>
      </c>
      <c r="F132" s="11" t="inlineStr">
        <is>
          <t>PDI 선택 → 슬라이더 0 → PDI 다시 선택</t>
        </is>
      </c>
      <c r="G132" s="11" t="inlineStr">
        <is>
          <t>MET 102:33:05로 이동</t>
        </is>
      </c>
      <c r="H132" s="11" t="inlineStr">
        <is>
          <t>MainWindowUiTests.PhaseBox_SelectingTheSamePhaseAgainStillJumps</t>
        </is>
      </c>
      <c r="I132" s="8">
        <f>IFERROR(INDEX('전체 테스트 결과'!$G$2:$G$301,MATCH($A132,'전체 테스트 결과'!$F$2:$F$301,0)),"미구현")</f>
        <v/>
      </c>
      <c r="J132" s="8" t="inlineStr">
        <is>
          <t>통과</t>
        </is>
      </c>
    </row>
  </sheetData>
  <autoFilter ref="A1:J132"/>
  <conditionalFormatting sqref="I2:J132">
    <cfRule type="cellIs" priority="1" operator="equal" dxfId="0">
      <formula>"통과"</formula>
    </cfRule>
    <cfRule type="cellIs" priority="2" operator="equal" dxfId="1">
      <formula>"실패"</formula>
    </cfRule>
    <cfRule type="cellIs" priority="3" operator="equal" dxfId="2">
      <formula>"미구현"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36" customWidth="1" min="4" max="4"/>
    <col width="70" customWidth="1" min="5" max="5"/>
    <col width="12" customWidth="1" min="6" max="6"/>
    <col width="9" customWidth="1" min="7" max="7"/>
    <col width="11" customWidth="1" min="8" max="8"/>
  </cols>
  <sheetData>
    <row r="1">
      <c r="A1" s="7" t="inlineStr">
        <is>
          <t>No</t>
        </is>
      </c>
      <c r="B1" s="7" t="inlineStr">
        <is>
          <t>영역</t>
        </is>
      </c>
      <c r="C1" s="7" t="inlineStr">
        <is>
          <t>기능</t>
        </is>
      </c>
      <c r="D1" s="7" t="inlineStr">
        <is>
          <t>테스트 클래스</t>
        </is>
      </c>
      <c r="E1" s="7" t="inlineStr">
        <is>
          <t>테스트 메서드</t>
        </is>
      </c>
      <c r="F1" s="7" t="inlineStr">
        <is>
          <t>시나리오 ID</t>
        </is>
      </c>
      <c r="G1" s="7" t="inlineStr">
        <is>
          <t>결과</t>
        </is>
      </c>
      <c r="H1" s="7" t="inlineStr">
        <is>
          <t>시간(ms)</t>
        </is>
      </c>
    </row>
    <row r="2">
      <c r="A2" s="8" t="n">
        <v>1</v>
      </c>
      <c r="B2" s="8" t="inlineStr">
        <is>
          <t>단위/연동</t>
        </is>
      </c>
      <c r="C2" s="8" t="inlineStr">
        <is>
          <t>로깅</t>
        </is>
      </c>
      <c r="D2" s="8" t="inlineStr">
        <is>
          <t>AsyncFileLoggerTests</t>
        </is>
      </c>
      <c r="E2" s="8" t="inlineStr">
        <is>
          <t>Dispose_FlushesQueuedLinesWithLevelAndMessage</t>
        </is>
      </c>
      <c r="F2" s="8" t="inlineStr"/>
      <c r="G2" s="8" t="inlineStr">
        <is>
          <t>통과</t>
        </is>
      </c>
      <c r="H2" s="8" t="n">
        <v>12.9</v>
      </c>
    </row>
    <row r="3">
      <c r="A3" s="9" t="n">
        <v>2</v>
      </c>
      <c r="B3" s="9" t="inlineStr">
        <is>
          <t>단위/연동</t>
        </is>
      </c>
      <c r="C3" s="9" t="inlineStr">
        <is>
          <t>로깅</t>
        </is>
      </c>
      <c r="D3" s="9" t="inlineStr">
        <is>
          <t>AsyncFileLoggerTests</t>
        </is>
      </c>
      <c r="E3" s="9" t="inlineStr">
        <is>
          <t>Logging_AfterDispose_DoesNotThrow</t>
        </is>
      </c>
      <c r="F3" s="9" t="inlineStr"/>
      <c r="G3" s="9" t="inlineStr">
        <is>
          <t>통과</t>
        </is>
      </c>
      <c r="H3" s="9" t="n">
        <v>5.6</v>
      </c>
    </row>
    <row r="4">
      <c r="A4" s="8" t="n">
        <v>3</v>
      </c>
      <c r="B4" s="8" t="inlineStr">
        <is>
          <t>단위/연동</t>
        </is>
      </c>
      <c r="C4" s="8" t="inlineStr">
        <is>
          <t>로깅</t>
        </is>
      </c>
      <c r="D4" s="8" t="inlineStr">
        <is>
          <t>AsyncFileLoggerTests</t>
        </is>
      </c>
      <c r="E4" s="8" t="inlineStr">
        <is>
          <t>Logging_FromManyThreads_KeepsEveryLine</t>
        </is>
      </c>
      <c r="F4" s="8" t="inlineStr"/>
      <c r="G4" s="8" t="inlineStr">
        <is>
          <t>통과</t>
        </is>
      </c>
      <c r="H4" s="8" t="n">
        <v>12.7</v>
      </c>
    </row>
    <row r="5">
      <c r="A5" s="9" t="n">
        <v>4</v>
      </c>
      <c r="B5" s="9" t="inlineStr">
        <is>
          <t>단위/연동</t>
        </is>
      </c>
      <c r="C5" s="9" t="inlineStr">
        <is>
          <t>로깅</t>
        </is>
      </c>
      <c r="D5" s="9" t="inlineStr">
        <is>
          <t>AsyncFileLoggerTests</t>
        </is>
      </c>
      <c r="E5" s="9" t="inlineStr">
        <is>
          <t>NullLog_AcceptsMessagesSilently</t>
        </is>
      </c>
      <c r="F5" s="9" t="inlineStr"/>
      <c r="G5" s="9" t="inlineStr">
        <is>
          <t>통과</t>
        </is>
      </c>
      <c r="H5" s="9" t="n">
        <v>2.4</v>
      </c>
    </row>
    <row r="6">
      <c r="A6" s="8" t="n">
        <v>5</v>
      </c>
      <c r="B6" s="8" t="inlineStr">
        <is>
          <t>단위/연동</t>
        </is>
      </c>
      <c r="C6" s="8" t="inlineStr">
        <is>
          <t>DSKY Noun 표시 형식</t>
        </is>
      </c>
      <c r="D6" s="8" t="inlineStr">
        <is>
          <t>DskyNounFormatTests</t>
        </is>
      </c>
      <c r="E6" s="8" t="inlineStr">
        <is>
          <t>ClockAndPositionNouns_AreTheSameOnBothVehicles</t>
        </is>
      </c>
      <c r="F6" s="8" t="inlineStr"/>
      <c r="G6" s="8" t="inlineStr">
        <is>
          <t>통과</t>
        </is>
      </c>
      <c r="H6" s="8" t="n">
        <v>0.3</v>
      </c>
    </row>
    <row r="7">
      <c r="A7" s="9" t="n">
        <v>6</v>
      </c>
      <c r="B7" s="9" t="inlineStr">
        <is>
          <t>단위/연동</t>
        </is>
      </c>
      <c r="C7" s="9" t="inlineStr">
        <is>
          <t>DSKY Noun 표시 형식</t>
        </is>
      </c>
      <c r="D7" s="9" t="inlineStr">
        <is>
          <t>DskyNounFormatTests</t>
        </is>
      </c>
      <c r="E7" s="9" t="inlineStr">
        <is>
          <t>FormatMinSec_UsesMinutesBlankSeconds</t>
        </is>
      </c>
      <c r="F7" s="9" t="inlineStr"/>
      <c r="G7" s="9" t="inlineStr">
        <is>
          <t>통과</t>
        </is>
      </c>
      <c r="H7" s="9" t="n">
        <v>0.2</v>
      </c>
    </row>
    <row r="8">
      <c r="A8" s="8" t="n">
        <v>7</v>
      </c>
      <c r="B8" s="8" t="inlineStr">
        <is>
          <t>단위/연동</t>
        </is>
      </c>
      <c r="C8" s="8" t="inlineStr">
        <is>
          <t>DSKY Noun 표시 형식</t>
        </is>
      </c>
      <c r="D8" s="8" t="inlineStr">
        <is>
          <t>DskyNounFormatTests</t>
        </is>
      </c>
      <c r="E8" s="8" t="inlineStr">
        <is>
          <t>FormatOctal_HasBlankSignSlot</t>
        </is>
      </c>
      <c r="F8" s="8" t="inlineStr"/>
      <c r="G8" s="8" t="inlineStr">
        <is>
          <t>통과</t>
        </is>
      </c>
      <c r="H8" s="8" t="n">
        <v>0.2</v>
      </c>
    </row>
    <row r="9">
      <c r="A9" s="9" t="n">
        <v>8</v>
      </c>
      <c r="B9" s="9" t="inlineStr">
        <is>
          <t>단위/연동</t>
        </is>
      </c>
      <c r="C9" s="9" t="inlineStr">
        <is>
          <t>DSKY Noun 표시 형식</t>
        </is>
      </c>
      <c r="D9" s="9" t="inlineStr">
        <is>
          <t>DskyNounFormatTests</t>
        </is>
      </c>
      <c r="E9" s="9" t="inlineStr">
        <is>
          <t>Format_DecimalAlwaysHasSign</t>
        </is>
      </c>
      <c r="F9" s="9" t="inlineStr"/>
      <c r="G9" s="9" t="inlineStr">
        <is>
          <t>통과</t>
        </is>
      </c>
      <c r="H9" s="9" t="n">
        <v>0.2</v>
      </c>
    </row>
    <row r="10">
      <c r="A10" s="8" t="n">
        <v>9</v>
      </c>
      <c r="B10" s="8" t="inlineStr">
        <is>
          <t>단위/연동</t>
        </is>
      </c>
      <c r="C10" s="8" t="inlineStr">
        <is>
          <t>DSKY Noun 표시 형식</t>
        </is>
      </c>
      <c r="D10" s="8" t="inlineStr">
        <is>
          <t>DskyNounFormatTests</t>
        </is>
      </c>
      <c r="E10" s="8" t="inlineStr">
        <is>
          <t>Format_Overflow_ClampsTo99999</t>
        </is>
      </c>
      <c r="F10" s="8" t="inlineStr"/>
      <c r="G10" s="8" t="inlineStr">
        <is>
          <t>통과</t>
        </is>
      </c>
      <c r="H10" s="8" t="n">
        <v>0.2</v>
      </c>
    </row>
    <row r="11">
      <c r="A11" s="9" t="n">
        <v>10</v>
      </c>
      <c r="B11" s="9" t="inlineStr">
        <is>
          <t>단위/연동</t>
        </is>
      </c>
      <c r="C11" s="9" t="inlineStr">
        <is>
          <t>DSKY Noun 표시 형식</t>
        </is>
      </c>
      <c r="D11" s="9" t="inlineStr">
        <is>
          <t>DskyNounFormatTests</t>
        </is>
      </c>
      <c r="E11" s="9" t="inlineStr">
        <is>
          <t>Format_RoundsHalfAwayFromZero</t>
        </is>
      </c>
      <c r="F11" s="9" t="inlineStr"/>
      <c r="G11" s="9" t="inlineStr">
        <is>
          <t>통과</t>
        </is>
      </c>
      <c r="H11" s="9" t="n">
        <v>0.2</v>
      </c>
    </row>
    <row r="12">
      <c r="A12" s="8" t="n">
        <v>11</v>
      </c>
      <c r="B12" s="8" t="inlineStr">
        <is>
          <t>단위/연동</t>
        </is>
      </c>
      <c r="C12" s="8" t="inlineStr">
        <is>
          <t>DSKY Noun 표시 형식</t>
        </is>
      </c>
      <c r="D12" s="8" t="inlineStr">
        <is>
          <t>DskyNounFormatTests</t>
        </is>
      </c>
      <c r="E12" s="8" t="inlineStr">
        <is>
          <t>IsTelemetryNoun_CommandModuleSupportsClockPositionAndVelocityOnly</t>
        </is>
      </c>
      <c r="F12" s="8" t="inlineStr"/>
      <c r="G12" s="8" t="inlineStr">
        <is>
          <t>통과</t>
        </is>
      </c>
      <c r="H12" s="8" t="n">
        <v>0.4</v>
      </c>
    </row>
    <row r="13">
      <c r="A13" s="9" t="n">
        <v>12</v>
      </c>
      <c r="B13" s="9" t="inlineStr">
        <is>
          <t>단위/연동</t>
        </is>
      </c>
      <c r="C13" s="9" t="inlineStr">
        <is>
          <t>DSKY Noun 표시 형식</t>
        </is>
      </c>
      <c r="D13" s="9" t="inlineStr">
        <is>
          <t>DskyNounFormatTests</t>
        </is>
      </c>
      <c r="E13" s="9" t="inlineStr">
        <is>
          <t>IsTelemetryNoun_LunarModuleSupportsClockPositionVelocityDescentAndRange</t>
        </is>
      </c>
      <c r="F13" s="9" t="inlineStr"/>
      <c r="G13" s="9" t="inlineStr">
        <is>
          <t>통과</t>
        </is>
      </c>
      <c r="H13" s="9" t="n">
        <v>0.4</v>
      </c>
    </row>
    <row r="14">
      <c r="A14" s="8" t="n">
        <v>13</v>
      </c>
      <c r="B14" s="8" t="inlineStr">
        <is>
          <t>단위/연동</t>
        </is>
      </c>
      <c r="C14" s="8" t="inlineStr">
        <is>
          <t>DSKY Noun 표시 형식</t>
        </is>
      </c>
      <c r="D14" s="8" t="inlineStr">
        <is>
          <t>DskyNounFormatTests</t>
        </is>
      </c>
      <c r="E14" s="8" t="inlineStr">
        <is>
          <t>LandingNouns_OnCommandModule_AreNotFormatted</t>
        </is>
      </c>
      <c r="F14" s="8" t="inlineStr"/>
      <c r="G14" s="8" t="inlineStr">
        <is>
          <t>통과</t>
        </is>
      </c>
      <c r="H14" s="8" t="n">
        <v>0.2</v>
      </c>
    </row>
    <row r="15">
      <c r="A15" s="9" t="n">
        <v>14</v>
      </c>
      <c r="B15" s="9" t="inlineStr">
        <is>
          <t>단위/연동</t>
        </is>
      </c>
      <c r="C15" s="9" t="inlineStr">
        <is>
          <t>DSKY Noun 표시 형식</t>
        </is>
      </c>
      <c r="D15" s="9" t="inlineStr">
        <is>
          <t>DskyNounFormatTests</t>
        </is>
      </c>
      <c r="E15" s="9" t="inlineStr">
        <is>
          <t>Noun36_ClockShowsHoursMinutesCentiseconds</t>
        </is>
      </c>
      <c r="F15" s="9" t="inlineStr"/>
      <c r="G15" s="9" t="inlineStr">
        <is>
          <t>통과</t>
        </is>
      </c>
      <c r="H15" s="9" t="n">
        <v>0.2</v>
      </c>
    </row>
    <row r="16">
      <c r="A16" s="8" t="n">
        <v>15</v>
      </c>
      <c r="B16" s="8" t="inlineStr">
        <is>
          <t>단위/연동</t>
        </is>
      </c>
      <c r="C16" s="8" t="inlineStr">
        <is>
          <t>DSKY Noun 표시 형식</t>
        </is>
      </c>
      <c r="D16" s="8" t="inlineStr">
        <is>
          <t>DskyNounFormatTests</t>
        </is>
      </c>
      <c r="E16" s="8" t="inlineStr">
        <is>
          <t>Noun43_ShowsLatLongInHundredthDegreesAndAltitudeInTenthNm</t>
        </is>
      </c>
      <c r="F16" s="8" t="inlineStr"/>
      <c r="G16" s="8" t="inlineStr">
        <is>
          <t>통과</t>
        </is>
      </c>
      <c r="H16" s="8" t="n">
        <v>0.2</v>
      </c>
    </row>
    <row r="17">
      <c r="A17" s="9" t="n">
        <v>16</v>
      </c>
      <c r="B17" s="9" t="inlineStr">
        <is>
          <t>단위/연동</t>
        </is>
      </c>
      <c r="C17" s="9" t="inlineStr">
        <is>
          <t>DSKY Noun 표시 형식</t>
        </is>
      </c>
      <c r="D17" s="9" t="inlineStr">
        <is>
          <t>DskyNounFormatTests</t>
        </is>
      </c>
      <c r="E17" s="9" t="inlineStr">
        <is>
          <t>Noun62_CommandModule_ShowsWholeFpsVelocityAltRateAndAltitudeInTenthNm</t>
        </is>
      </c>
      <c r="F17" s="9" t="inlineStr"/>
      <c r="G17" s="9" t="inlineStr">
        <is>
          <t>통과</t>
        </is>
      </c>
      <c r="H17" s="9" t="n">
        <v>0.2</v>
      </c>
    </row>
    <row r="18">
      <c r="A18" s="8" t="n">
        <v>17</v>
      </c>
      <c r="B18" s="8" t="inlineStr">
        <is>
          <t>단위/연동</t>
        </is>
      </c>
      <c r="C18" s="8" t="inlineStr">
        <is>
          <t>DSKY Noun 표시 형식</t>
        </is>
      </c>
      <c r="D18" s="8" t="inlineStr">
        <is>
          <t>DskyNounFormatTests</t>
        </is>
      </c>
      <c r="E18" s="8" t="inlineStr">
        <is>
          <t>Noun62_LunarModule_ShowsVelocityTimeToIgnitionAndDeltaV</t>
        </is>
      </c>
      <c r="F18" s="8" t="inlineStr"/>
      <c r="G18" s="8" t="inlineStr">
        <is>
          <t>통과</t>
        </is>
      </c>
      <c r="H18" s="8" t="n">
        <v>0.2</v>
      </c>
    </row>
    <row r="19">
      <c r="A19" s="9" t="n">
        <v>18</v>
      </c>
      <c r="B19" s="9" t="inlineStr">
        <is>
          <t>단위/연동</t>
        </is>
      </c>
      <c r="C19" s="9" t="inlineStr">
        <is>
          <t>DSKY Noun 표시 형식</t>
        </is>
      </c>
      <c r="D19" s="9" t="inlineStr">
        <is>
          <t>DskyNounFormatTests</t>
        </is>
      </c>
      <c r="E19" s="9" t="inlineStr">
        <is>
          <t>Noun63_ShowsVelocityAltRateInTenthFpsAndAltitudeInFeet</t>
        </is>
      </c>
      <c r="F19" s="9" t="inlineStr"/>
      <c r="G19" s="9" t="inlineStr">
        <is>
          <t>통과</t>
        </is>
      </c>
      <c r="H19" s="9" t="n">
        <v>0.2</v>
      </c>
    </row>
    <row r="20">
      <c r="A20" s="8" t="n">
        <v>19</v>
      </c>
      <c r="B20" s="8" t="inlineStr">
        <is>
          <t>단위/연동</t>
        </is>
      </c>
      <c r="C20" s="8" t="inlineStr">
        <is>
          <t>DSKY Noun 표시 형식</t>
        </is>
      </c>
      <c r="D20" s="8" t="inlineStr">
        <is>
          <t>DskyNounFormatTests</t>
        </is>
      </c>
      <c r="E20" s="8" t="inlineStr">
        <is>
          <t>Noun68_ShowsRangeInTenthNmTimeToGoAndZeroAltitudeDelta</t>
        </is>
      </c>
      <c r="F20" s="8" t="inlineStr"/>
      <c r="G20" s="8" t="inlineStr">
        <is>
          <t>통과</t>
        </is>
      </c>
      <c r="H20" s="8" t="n">
        <v>0.2</v>
      </c>
    </row>
    <row r="21">
      <c r="A21" s="9" t="n">
        <v>20</v>
      </c>
      <c r="B21" s="9" t="inlineStr">
        <is>
          <t>단위/연동</t>
        </is>
      </c>
      <c r="C21" s="9" t="inlineStr">
        <is>
          <t>DSKY Noun 표시 형식</t>
        </is>
      </c>
      <c r="D21" s="9" t="inlineStr">
        <is>
          <t>DskyNounFormatTests</t>
        </is>
      </c>
      <c r="E21" s="9" t="inlineStr">
        <is>
          <t>TryFormat_UnknownNoun_ReturnsFalse</t>
        </is>
      </c>
      <c r="F21" s="9" t="inlineStr"/>
      <c r="G21" s="9" t="inlineStr">
        <is>
          <t>통과</t>
        </is>
      </c>
      <c r="H21" s="9" t="n">
        <v>0.2</v>
      </c>
    </row>
    <row r="22">
      <c r="A22" s="8" t="n">
        <v>21</v>
      </c>
      <c r="B22" s="8" t="inlineStr">
        <is>
          <t>단위/연동</t>
        </is>
      </c>
      <c r="C22" s="8" t="inlineStr">
        <is>
          <t>DSKY 키 입력 상태기계</t>
        </is>
      </c>
      <c r="D22" s="8" t="inlineStr">
        <is>
          <t>DskyEntryTests</t>
        </is>
      </c>
      <c r="E22" s="8" t="inlineStr">
        <is>
          <t>Clear_DuringEntry_ClearsActiveField</t>
        </is>
      </c>
      <c r="F22" s="8" t="inlineStr"/>
      <c r="G22" s="8" t="inlineStr">
        <is>
          <t>통과</t>
        </is>
      </c>
      <c r="H22" s="8" t="n">
        <v>0.2</v>
      </c>
    </row>
    <row r="23">
      <c r="A23" s="9" t="n">
        <v>22</v>
      </c>
      <c r="B23" s="9" t="inlineStr">
        <is>
          <t>단위/연동</t>
        </is>
      </c>
      <c r="C23" s="9" t="inlineStr">
        <is>
          <t>DSKY 키 입력 상태기계</t>
        </is>
      </c>
      <c r="D23" s="9" t="inlineStr">
        <is>
          <t>DskyEntryTests</t>
        </is>
      </c>
      <c r="E23" s="9" t="inlineStr">
        <is>
          <t>Digit_WithoutVerbOrNoun_LightsOprErr</t>
        </is>
      </c>
      <c r="F23" s="9" t="inlineStr"/>
      <c r="G23" s="9" t="inlineStr">
        <is>
          <t>통과</t>
        </is>
      </c>
      <c r="H23" s="9" t="n">
        <v>0.3</v>
      </c>
    </row>
    <row r="24">
      <c r="A24" s="8" t="n">
        <v>23</v>
      </c>
      <c r="B24" s="8" t="inlineStr">
        <is>
          <t>단위/연동</t>
        </is>
      </c>
      <c r="C24" s="8" t="inlineStr">
        <is>
          <t>DSKY 키 입력 상태기계</t>
        </is>
      </c>
      <c r="D24" s="8" t="inlineStr">
        <is>
          <t>DskyEntryTests</t>
        </is>
      </c>
      <c r="E24" s="8" t="inlineStr">
        <is>
          <t>Enter_WithoutCompleteVerb_LightsOprErr</t>
        </is>
      </c>
      <c r="F24" s="8" t="inlineStr"/>
      <c r="G24" s="8" t="inlineStr">
        <is>
          <t>통과</t>
        </is>
      </c>
      <c r="H24" s="8" t="n">
        <v>0.2</v>
      </c>
    </row>
    <row r="25">
      <c r="A25" s="9" t="n">
        <v>24</v>
      </c>
      <c r="B25" s="9" t="inlineStr">
        <is>
          <t>단위/연동</t>
        </is>
      </c>
      <c r="C25" s="9" t="inlineStr">
        <is>
          <t>DSKY 키 입력 상태기계</t>
        </is>
      </c>
      <c r="D25" s="9" t="inlineStr">
        <is>
          <t>DskyEntryTests</t>
        </is>
      </c>
      <c r="E25" s="9" t="inlineStr">
        <is>
          <t>InitialDisplay_ShowsProgramFromTelemetryAndBlanksElsewhere</t>
        </is>
      </c>
      <c r="F25" s="9" t="inlineStr"/>
      <c r="G25" s="9" t="inlineStr">
        <is>
          <t>통과</t>
        </is>
      </c>
      <c r="H25" s="9" t="n">
        <v>0.4</v>
      </c>
    </row>
    <row r="26">
      <c r="A26" s="8" t="n">
        <v>25</v>
      </c>
      <c r="B26" s="8" t="inlineStr">
        <is>
          <t>단위/연동</t>
        </is>
      </c>
      <c r="C26" s="8" t="inlineStr">
        <is>
          <t>DSKY 키 입력 상태기계</t>
        </is>
      </c>
      <c r="D26" s="8" t="inlineStr">
        <is>
          <t>DskyEntryTests</t>
        </is>
      </c>
      <c r="E26" s="8" t="inlineStr">
        <is>
          <t>NounEntry_ShowsDigits</t>
        </is>
      </c>
      <c r="F26" s="8" t="inlineStr"/>
      <c r="G26" s="8" t="inlineStr">
        <is>
          <t>통과</t>
        </is>
      </c>
      <c r="H26" s="8" t="n">
        <v>0.1</v>
      </c>
    </row>
    <row r="27">
      <c r="A27" s="9" t="n">
        <v>26</v>
      </c>
      <c r="B27" s="9" t="inlineStr">
        <is>
          <t>단위/연동</t>
        </is>
      </c>
      <c r="C27" s="9" t="inlineStr">
        <is>
          <t>DSKY 키 입력 상태기계</t>
        </is>
      </c>
      <c r="D27" s="9" t="inlineStr">
        <is>
          <t>DskyEntryTests</t>
        </is>
      </c>
      <c r="E27" s="9" t="inlineStr">
        <is>
          <t>PressingVerbAgain_ClearsVerbField</t>
        </is>
      </c>
      <c r="F27" s="9" t="inlineStr"/>
      <c r="G27" s="9" t="inlineStr">
        <is>
          <t>통과</t>
        </is>
      </c>
      <c r="H27" s="9" t="n">
        <v>0.1</v>
      </c>
    </row>
    <row r="28">
      <c r="A28" s="8" t="n">
        <v>27</v>
      </c>
      <c r="B28" s="8" t="inlineStr">
        <is>
          <t>단위/연동</t>
        </is>
      </c>
      <c r="C28" s="8" t="inlineStr">
        <is>
          <t>DSKY 키 입력 상태기계</t>
        </is>
      </c>
      <c r="D28" s="8" t="inlineStr">
        <is>
          <t>DskyEntryTests</t>
        </is>
      </c>
      <c r="E28" s="8" t="inlineStr">
        <is>
          <t>Proceed_IsNoOp</t>
        </is>
      </c>
      <c r="F28" s="8" t="inlineStr"/>
      <c r="G28" s="8" t="inlineStr">
        <is>
          <t>통과</t>
        </is>
      </c>
      <c r="H28" s="8" t="n">
        <v>0.1</v>
      </c>
    </row>
    <row r="29">
      <c r="A29" s="9" t="n">
        <v>28</v>
      </c>
      <c r="B29" s="9" t="inlineStr">
        <is>
          <t>단위/연동</t>
        </is>
      </c>
      <c r="C29" s="9" t="inlineStr">
        <is>
          <t>DSKY 키 입력 상태기계</t>
        </is>
      </c>
      <c r="D29" s="9" t="inlineStr">
        <is>
          <t>DskyEntryTests</t>
        </is>
      </c>
      <c r="E29" s="9" t="inlineStr">
        <is>
          <t>ProgramWindow_FollowsTelemetry</t>
        </is>
      </c>
      <c r="F29" s="9" t="inlineStr"/>
      <c r="G29" s="9" t="inlineStr">
        <is>
          <t>통과</t>
        </is>
      </c>
      <c r="H29" s="9" t="n">
        <v>0.3</v>
      </c>
    </row>
    <row r="30">
      <c r="A30" s="8" t="n">
        <v>29</v>
      </c>
      <c r="B30" s="8" t="inlineStr">
        <is>
          <t>단위/연동</t>
        </is>
      </c>
      <c r="C30" s="8" t="inlineStr">
        <is>
          <t>DSKY 키 입력 상태기계</t>
        </is>
      </c>
      <c r="D30" s="8" t="inlineStr">
        <is>
          <t>DskyEntryTests</t>
        </is>
      </c>
      <c r="E30" s="8" t="inlineStr">
        <is>
          <t>Reset_ClearsOprErr</t>
        </is>
      </c>
      <c r="F30" s="8" t="inlineStr"/>
      <c r="G30" s="8" t="inlineStr">
        <is>
          <t>통과</t>
        </is>
      </c>
      <c r="H30" s="8" t="n">
        <v>0.1</v>
      </c>
    </row>
    <row r="31">
      <c r="A31" s="9" t="n">
        <v>30</v>
      </c>
      <c r="B31" s="9" t="inlineStr">
        <is>
          <t>단위/연동</t>
        </is>
      </c>
      <c r="C31" s="9" t="inlineStr">
        <is>
          <t>DSKY 키 입력 상태기계</t>
        </is>
      </c>
      <c r="D31" s="9" t="inlineStr">
        <is>
          <t>DskyEntryTests</t>
        </is>
      </c>
      <c r="E31" s="9" t="inlineStr">
        <is>
          <t>SignKey_WithoutDataEntry_LightsOprErr</t>
        </is>
      </c>
      <c r="F31" s="9" t="inlineStr"/>
      <c r="G31" s="9" t="inlineStr">
        <is>
          <t>통과</t>
        </is>
      </c>
      <c r="H31" s="9" t="n">
        <v>0.1</v>
      </c>
    </row>
    <row r="32">
      <c r="A32" s="8" t="n">
        <v>31</v>
      </c>
      <c r="B32" s="8" t="inlineStr">
        <is>
          <t>단위/연동</t>
        </is>
      </c>
      <c r="C32" s="8" t="inlineStr">
        <is>
          <t>DSKY 키 입력 상태기계</t>
        </is>
      </c>
      <c r="D32" s="8" t="inlineStr">
        <is>
          <t>DskyEntryTests</t>
        </is>
      </c>
      <c r="E32" s="8" t="inlineStr">
        <is>
          <t>ThirdDigit_AfterFullField_LightsOprErr</t>
        </is>
      </c>
      <c r="F32" s="8" t="inlineStr"/>
      <c r="G32" s="8" t="inlineStr">
        <is>
          <t>통과</t>
        </is>
      </c>
      <c r="H32" s="8" t="n">
        <v>0.2</v>
      </c>
    </row>
    <row r="33">
      <c r="A33" s="9" t="n">
        <v>32</v>
      </c>
      <c r="B33" s="9" t="inlineStr">
        <is>
          <t>단위/연동</t>
        </is>
      </c>
      <c r="C33" s="9" t="inlineStr">
        <is>
          <t>DSKY 키 입력 상태기계</t>
        </is>
      </c>
      <c r="D33" s="9" t="inlineStr">
        <is>
          <t>DskyEntryTests</t>
        </is>
      </c>
      <c r="E33" s="9" t="inlineStr">
        <is>
          <t>VerbEntry_ShowsDigitsProgressively</t>
        </is>
      </c>
      <c r="F33" s="9" t="inlineStr"/>
      <c r="G33" s="9" t="inlineStr">
        <is>
          <t>통과</t>
        </is>
      </c>
      <c r="H33" s="9" t="n">
        <v>0.1</v>
      </c>
    </row>
    <row r="34">
      <c r="A34" s="8" t="n">
        <v>33</v>
      </c>
      <c r="B34" s="8" t="inlineStr">
        <is>
          <t>단위/연동</t>
        </is>
      </c>
      <c r="C34" s="8" t="inlineStr">
        <is>
          <t>DSKY 명령 실행</t>
        </is>
      </c>
      <c r="D34" s="8" t="inlineStr">
        <is>
          <t>DskyCommandTests</t>
        </is>
      </c>
      <c r="E34" s="8" t="inlineStr">
        <is>
          <t>AlarmStore_KeepsOnlyLatestThree</t>
        </is>
      </c>
      <c r="F34" s="8" t="inlineStr"/>
      <c r="G34" s="8" t="inlineStr">
        <is>
          <t>통과</t>
        </is>
      </c>
      <c r="H34" s="8" t="n">
        <v>0.2</v>
      </c>
    </row>
    <row r="35">
      <c r="A35" s="9" t="n">
        <v>34</v>
      </c>
      <c r="B35" s="9" t="inlineStr">
        <is>
          <t>단위/연동</t>
        </is>
      </c>
      <c r="C35" s="9" t="inlineStr">
        <is>
          <t>DSKY 명령 실행</t>
        </is>
      </c>
      <c r="D35" s="9" t="inlineStr">
        <is>
          <t>DskyCommandTests</t>
        </is>
      </c>
      <c r="E35" s="9" t="inlineStr">
        <is>
          <t>DescentNouns_OnCommandModule_LightOprErr</t>
        </is>
      </c>
      <c r="F35" s="9" t="inlineStr"/>
      <c r="G35" s="9" t="inlineStr">
        <is>
          <t>통과</t>
        </is>
      </c>
      <c r="H35" s="9" t="n">
        <v>0.3</v>
      </c>
    </row>
    <row r="36">
      <c r="A36" s="8" t="n">
        <v>35</v>
      </c>
      <c r="B36" s="8" t="inlineStr">
        <is>
          <t>단위/연동</t>
        </is>
      </c>
      <c r="C36" s="8" t="inlineStr">
        <is>
          <t>DSKY 명령 실행</t>
        </is>
      </c>
      <c r="D36" s="8" t="inlineStr">
        <is>
          <t>DskyCommandTests</t>
        </is>
      </c>
      <c r="E36" s="8" t="inlineStr">
        <is>
          <t>Display_ReportsTheVehicleOfTheTelemetry</t>
        </is>
      </c>
      <c r="F36" s="8" t="inlineStr"/>
      <c r="G36" s="8" t="inlineStr">
        <is>
          <t>통과</t>
        </is>
      </c>
      <c r="H36" s="8" t="n">
        <v>0.2</v>
      </c>
    </row>
    <row r="37">
      <c r="A37" s="9" t="n">
        <v>36</v>
      </c>
      <c r="B37" s="9" t="inlineStr">
        <is>
          <t>단위/연동</t>
        </is>
      </c>
      <c r="C37" s="9" t="inlineStr">
        <is>
          <t>DSKY 명령 실행</t>
        </is>
      </c>
      <c r="D37" s="9" t="inlineStr">
        <is>
          <t>DskyCommandTests</t>
        </is>
      </c>
      <c r="E37" s="9" t="inlineStr">
        <is>
          <t>ExecutedCommand_IsLogged</t>
        </is>
      </c>
      <c r="F37" s="9" t="inlineStr"/>
      <c r="G37" s="9" t="inlineStr">
        <is>
          <t>통과</t>
        </is>
      </c>
      <c r="H37" s="9" t="n">
        <v>0.3</v>
      </c>
    </row>
    <row r="38">
      <c r="A38" s="8" t="n">
        <v>37</v>
      </c>
      <c r="B38" s="8" t="inlineStr">
        <is>
          <t>단위/연동</t>
        </is>
      </c>
      <c r="C38" s="8" t="inlineStr">
        <is>
          <t>DSKY 명령 실행</t>
        </is>
      </c>
      <c r="D38" s="8" t="inlineStr">
        <is>
          <t>DskyCommandTests</t>
        </is>
      </c>
      <c r="E38" s="8" t="inlineStr">
        <is>
          <t>KeyRelease_BlanksDisplayAndStopsMonitoring</t>
        </is>
      </c>
      <c r="F38" s="8" t="inlineStr"/>
      <c r="G38" s="8" t="inlineStr">
        <is>
          <t>통과</t>
        </is>
      </c>
      <c r="H38" s="8" t="n">
        <v>0.2</v>
      </c>
    </row>
    <row r="39">
      <c r="A39" s="9" t="n">
        <v>38</v>
      </c>
      <c r="B39" s="9" t="inlineStr">
        <is>
          <t>단위/연동</t>
        </is>
      </c>
      <c r="C39" s="9" t="inlineStr">
        <is>
          <t>DSKY 명령 실행</t>
        </is>
      </c>
      <c r="D39" s="9" t="inlineStr">
        <is>
          <t>DskyCommandTests</t>
        </is>
      </c>
      <c r="E39" s="9" t="inlineStr">
        <is>
          <t>MissingNoun_LightsOprErr</t>
        </is>
      </c>
      <c r="F39" s="9" t="inlineStr"/>
      <c r="G39" s="9" t="inlineStr">
        <is>
          <t>통과</t>
        </is>
      </c>
      <c r="H39" s="9" t="n">
        <v>0.1</v>
      </c>
    </row>
    <row r="40">
      <c r="A40" s="8" t="n">
        <v>39</v>
      </c>
      <c r="B40" s="8" t="inlineStr">
        <is>
          <t>단위/연동</t>
        </is>
      </c>
      <c r="C40" s="8" t="inlineStr">
        <is>
          <t>DSKY 명령 실행</t>
        </is>
      </c>
      <c r="D40" s="8" t="inlineStr">
        <is>
          <t>DskyCommandTests</t>
        </is>
      </c>
      <c r="E40" s="8" t="inlineStr">
        <is>
          <t>NewAlarm_WhileAlarmNounShown_RefreshesImmediately</t>
        </is>
      </c>
      <c r="F40" s="8" t="inlineStr"/>
      <c r="G40" s="8" t="inlineStr">
        <is>
          <t>통과</t>
        </is>
      </c>
      <c r="H40" s="8" t="n">
        <v>0.1</v>
      </c>
    </row>
    <row r="41">
      <c r="A41" s="9" t="n">
        <v>40</v>
      </c>
      <c r="B41" s="9" t="inlineStr">
        <is>
          <t>단위/연동</t>
        </is>
      </c>
      <c r="C41" s="9" t="inlineStr">
        <is>
          <t>DSKY 명령 실행</t>
        </is>
      </c>
      <c r="D41" s="9" t="inlineStr">
        <is>
          <t>DskyCommandTests</t>
        </is>
      </c>
      <c r="E41" s="9" t="inlineStr">
        <is>
          <t>RaiseAlarm_LightsProgLampAndRsetClearsIt</t>
        </is>
      </c>
      <c r="F41" s="9" t="inlineStr"/>
      <c r="G41" s="9" t="inlineStr">
        <is>
          <t>통과</t>
        </is>
      </c>
      <c r="H41" s="9" t="n">
        <v>0.3</v>
      </c>
    </row>
    <row r="42">
      <c r="A42" s="8" t="n">
        <v>41</v>
      </c>
      <c r="B42" s="8" t="inlineStr">
        <is>
          <t>단위/연동</t>
        </is>
      </c>
      <c r="C42" s="8" t="inlineStr">
        <is>
          <t>DSKY 명령 실행</t>
        </is>
      </c>
      <c r="D42" s="8" t="inlineStr">
        <is>
          <t>DskyCommandTests</t>
        </is>
      </c>
      <c r="E42" s="8" t="inlineStr">
        <is>
          <t>UnsupportedNoun64_LightsOprErr</t>
        </is>
      </c>
      <c r="F42" s="8" t="inlineStr"/>
      <c r="G42" s="8" t="inlineStr">
        <is>
          <t>통과</t>
        </is>
      </c>
      <c r="H42" s="8" t="n">
        <v>0.4</v>
      </c>
    </row>
    <row r="43">
      <c r="A43" s="9" t="n">
        <v>42</v>
      </c>
      <c r="B43" s="9" t="inlineStr">
        <is>
          <t>단위/연동</t>
        </is>
      </c>
      <c r="C43" s="9" t="inlineStr">
        <is>
          <t>DSKY 명령 실행</t>
        </is>
      </c>
      <c r="D43" s="9" t="inlineStr">
        <is>
          <t>DskyCommandTests</t>
        </is>
      </c>
      <c r="E43" s="9" t="inlineStr">
        <is>
          <t>UnsupportedNoun_LightsOprErrAndKeepsRegistersBlank</t>
        </is>
      </c>
      <c r="F43" s="9" t="inlineStr"/>
      <c r="G43" s="9" t="inlineStr">
        <is>
          <t>통과</t>
        </is>
      </c>
      <c r="H43" s="9" t="n">
        <v>0.2</v>
      </c>
    </row>
    <row r="44">
      <c r="A44" s="8" t="n">
        <v>43</v>
      </c>
      <c r="B44" s="8" t="inlineStr">
        <is>
          <t>단위/연동</t>
        </is>
      </c>
      <c r="C44" s="8" t="inlineStr">
        <is>
          <t>DSKY 명령 실행</t>
        </is>
      </c>
      <c r="D44" s="8" t="inlineStr">
        <is>
          <t>DskyCommandTests</t>
        </is>
      </c>
      <c r="E44" s="8" t="inlineStr">
        <is>
          <t>UnsupportedVerb_LightsOprErr</t>
        </is>
      </c>
      <c r="F44" s="8" t="inlineStr"/>
      <c r="G44" s="8" t="inlineStr">
        <is>
          <t>통과</t>
        </is>
      </c>
      <c r="H44" s="8" t="n">
        <v>0.1</v>
      </c>
    </row>
    <row r="45">
      <c r="A45" s="9" t="n">
        <v>44</v>
      </c>
      <c r="B45" s="9" t="inlineStr">
        <is>
          <t>단위/연동</t>
        </is>
      </c>
      <c r="C45" s="9" t="inlineStr">
        <is>
          <t>DSKY 명령 실행</t>
        </is>
      </c>
      <c r="D45" s="9" t="inlineStr">
        <is>
          <t>DskyCommandTests</t>
        </is>
      </c>
      <c r="E45" s="9" t="inlineStr">
        <is>
          <t>V05N09_ShowsAlarmCodesNewestFirst</t>
        </is>
      </c>
      <c r="F45" s="9" t="inlineStr"/>
      <c r="G45" s="9" t="inlineStr">
        <is>
          <t>통과</t>
        </is>
      </c>
      <c r="H45" s="9" t="n">
        <v>0.2</v>
      </c>
    </row>
    <row r="46">
      <c r="A46" s="8" t="n">
        <v>45</v>
      </c>
      <c r="B46" s="8" t="inlineStr">
        <is>
          <t>단위/연동</t>
        </is>
      </c>
      <c r="C46" s="8" t="inlineStr">
        <is>
          <t>DSKY 명령 실행</t>
        </is>
      </c>
      <c r="D46" s="8" t="inlineStr">
        <is>
          <t>DskyCommandTests</t>
        </is>
      </c>
      <c r="E46" s="8" t="inlineStr">
        <is>
          <t>V05_WithTelemetryNoun_LightsOprErr</t>
        </is>
      </c>
      <c r="F46" s="8" t="inlineStr"/>
      <c r="G46" s="8" t="inlineStr">
        <is>
          <t>통과</t>
        </is>
      </c>
      <c r="H46" s="8" t="n">
        <v>0.2</v>
      </c>
    </row>
    <row r="47">
      <c r="A47" s="9" t="n">
        <v>46</v>
      </c>
      <c r="B47" s="9" t="inlineStr">
        <is>
          <t>단위/연동</t>
        </is>
      </c>
      <c r="C47" s="9" t="inlineStr">
        <is>
          <t>DSKY 명령 실행</t>
        </is>
      </c>
      <c r="D47" s="9" t="inlineStr">
        <is>
          <t>DskyCommandTests</t>
        </is>
      </c>
      <c r="E47" s="9" t="inlineStr">
        <is>
          <t>V06N36_DisplayOnce_DoesNotUpdate</t>
        </is>
      </c>
      <c r="F47" s="9" t="inlineStr"/>
      <c r="G47" s="9" t="inlineStr">
        <is>
          <t>통과</t>
        </is>
      </c>
      <c r="H47" s="9" t="n">
        <v>0.5</v>
      </c>
    </row>
    <row r="48">
      <c r="A48" s="8" t="n">
        <v>47</v>
      </c>
      <c r="B48" s="8" t="inlineStr">
        <is>
          <t>단위/연동</t>
        </is>
      </c>
      <c r="C48" s="8" t="inlineStr">
        <is>
          <t>DSKY 명령 실행</t>
        </is>
      </c>
      <c r="D48" s="8" t="inlineStr">
        <is>
          <t>DskyCommandTests</t>
        </is>
      </c>
      <c r="E48" s="8" t="inlineStr">
        <is>
          <t>V06N62_OnCommandModule_ShowsInertialVelocityAltRateAndAltitude</t>
        </is>
      </c>
      <c r="F48" s="8" t="inlineStr"/>
      <c r="G48" s="8" t="inlineStr">
        <is>
          <t>통과</t>
        </is>
      </c>
      <c r="H48" s="8" t="n">
        <v>0.2</v>
      </c>
    </row>
    <row r="49">
      <c r="A49" s="9" t="n">
        <v>48</v>
      </c>
      <c r="B49" s="9" t="inlineStr">
        <is>
          <t>단위/연동</t>
        </is>
      </c>
      <c r="C49" s="9" t="inlineStr">
        <is>
          <t>DSKY 명령 실행</t>
        </is>
      </c>
      <c r="D49" s="9" t="inlineStr">
        <is>
          <t>DskyCommandTests</t>
        </is>
      </c>
      <c r="E49" s="9" t="inlineStr">
        <is>
          <t>V06N62_OnLunarModule_ShowsTimeToIgnitionInMiddleRegister</t>
        </is>
      </c>
      <c r="F49" s="9" t="inlineStr"/>
      <c r="G49" s="9" t="inlineStr">
        <is>
          <t>통과</t>
        </is>
      </c>
      <c r="H49" s="9" t="n">
        <v>0.2</v>
      </c>
    </row>
    <row r="50">
      <c r="A50" s="8" t="n">
        <v>49</v>
      </c>
      <c r="B50" s="8" t="inlineStr">
        <is>
          <t>단위/연동</t>
        </is>
      </c>
      <c r="C50" s="8" t="inlineStr">
        <is>
          <t>DSKY 명령 실행</t>
        </is>
      </c>
      <c r="D50" s="8" t="inlineStr">
        <is>
          <t>DskyCommandTests</t>
        </is>
      </c>
      <c r="E50" s="8" t="inlineStr">
        <is>
          <t>V06N68_ShowsRangeAndTimeToGo</t>
        </is>
      </c>
      <c r="F50" s="8" t="inlineStr"/>
      <c r="G50" s="8" t="inlineStr">
        <is>
          <t>통과</t>
        </is>
      </c>
      <c r="H50" s="8" t="n">
        <v>0.3</v>
      </c>
    </row>
    <row r="51">
      <c r="A51" s="9" t="n">
        <v>50</v>
      </c>
      <c r="B51" s="9" t="inlineStr">
        <is>
          <t>단위/연동</t>
        </is>
      </c>
      <c r="C51" s="9" t="inlineStr">
        <is>
          <t>DSKY 명령 실행</t>
        </is>
      </c>
      <c r="D51" s="9" t="inlineStr">
        <is>
          <t>DskyCommandTests</t>
        </is>
      </c>
      <c r="E51" s="9" t="inlineStr">
        <is>
          <t>V16N36_Monitor_ShowsClockAndKeepsUpdating</t>
        </is>
      </c>
      <c r="F51" s="9" t="inlineStr"/>
      <c r="G51" s="9" t="inlineStr">
        <is>
          <t>통과</t>
        </is>
      </c>
      <c r="H51" s="9" t="n">
        <v>0.5</v>
      </c>
    </row>
    <row r="52">
      <c r="A52" s="8" t="n">
        <v>51</v>
      </c>
      <c r="B52" s="8" t="inlineStr">
        <is>
          <t>단위/연동</t>
        </is>
      </c>
      <c r="C52" s="8" t="inlineStr">
        <is>
          <t>DSKY 명령 실행</t>
        </is>
      </c>
      <c r="D52" s="8" t="inlineStr">
        <is>
          <t>DskyCommandTests</t>
        </is>
      </c>
      <c r="E52" s="8" t="inlineStr">
        <is>
          <t>V16N63_ShowsDescentVelocityRegisters</t>
        </is>
      </c>
      <c r="F52" s="8" t="inlineStr"/>
      <c r="G52" s="8" t="inlineStr">
        <is>
          <t>통과</t>
        </is>
      </c>
      <c r="H52" s="8" t="n">
        <v>0.4</v>
      </c>
    </row>
    <row r="53">
      <c r="A53" s="9" t="n">
        <v>52</v>
      </c>
      <c r="B53" s="9" t="inlineStr">
        <is>
          <t>단위/연동</t>
        </is>
      </c>
      <c r="C53" s="9" t="inlineStr">
        <is>
          <t>DSKY 명령 실행</t>
        </is>
      </c>
      <c r="D53" s="9" t="inlineStr">
        <is>
          <t>DskyCommandTests</t>
        </is>
      </c>
      <c r="E53" s="9" t="inlineStr">
        <is>
          <t>V35_LampTest_LightsEverythingThenEndsAfterFiveSeconds</t>
        </is>
      </c>
      <c r="F53" s="9" t="inlineStr"/>
      <c r="G53" s="9" t="inlineStr">
        <is>
          <t>통과</t>
        </is>
      </c>
      <c r="H53" s="9" t="n">
        <v>1.4</v>
      </c>
    </row>
    <row r="54">
      <c r="A54" s="8" t="n">
        <v>53</v>
      </c>
      <c r="B54" s="8" t="inlineStr">
        <is>
          <t>단위/연동</t>
        </is>
      </c>
      <c r="C54" s="8" t="inlineStr">
        <is>
          <t>DSKY 명령 실행</t>
        </is>
      </c>
      <c r="D54" s="8" t="inlineStr">
        <is>
          <t>DskyCommandTests</t>
        </is>
      </c>
      <c r="E54" s="8" t="inlineStr">
        <is>
          <t>V35_LampTest_OnCommandModule_DoesNotLightAltAndVel</t>
        </is>
      </c>
      <c r="F54" s="8" t="inlineStr"/>
      <c r="G54" s="8" t="inlineStr">
        <is>
          <t>통과</t>
        </is>
      </c>
      <c r="H54" s="8" t="n">
        <v>0.2</v>
      </c>
    </row>
    <row r="55">
      <c r="A55" s="9" t="n">
        <v>54</v>
      </c>
      <c r="B55" s="9" t="inlineStr">
        <is>
          <t>단위/연동</t>
        </is>
      </c>
      <c r="C55" s="9" t="inlineStr">
        <is>
          <t>DSKY 명령 실행</t>
        </is>
      </c>
      <c r="D55" s="9" t="inlineStr">
        <is>
          <t>DskyCommandTests</t>
        </is>
      </c>
      <c r="E55" s="9" t="inlineStr">
        <is>
          <t>V35_LampTest_OnLunarModule_LightsAltAndVel</t>
        </is>
      </c>
      <c r="F55" s="9" t="inlineStr"/>
      <c r="G55" s="9" t="inlineStr">
        <is>
          <t>통과</t>
        </is>
      </c>
      <c r="H55" s="9" t="n">
        <v>0.2</v>
      </c>
    </row>
    <row r="56">
      <c r="A56" s="8" t="n">
        <v>55</v>
      </c>
      <c r="B56" s="8" t="inlineStr">
        <is>
          <t>단위/연동</t>
        </is>
      </c>
      <c r="C56" s="8" t="inlineStr">
        <is>
          <t>DSKY 데이터 로드(V21~V25)</t>
        </is>
      </c>
      <c r="D56" s="8" t="inlineStr">
        <is>
          <t>DskyDataLoadTests</t>
        </is>
      </c>
      <c r="E56" s="8" t="inlineStr">
        <is>
          <t>DigitsAfterVerbKey_GoToTheVerbWindowNotTheRegister</t>
        </is>
      </c>
      <c r="F56" s="8" t="inlineStr"/>
      <c r="G56" s="8" t="inlineStr">
        <is>
          <t>통과</t>
        </is>
      </c>
      <c r="H56" s="8" t="n">
        <v>0.2</v>
      </c>
    </row>
    <row r="57">
      <c r="A57" s="9" t="n">
        <v>56</v>
      </c>
      <c r="B57" s="9" t="inlineStr">
        <is>
          <t>단위/연동</t>
        </is>
      </c>
      <c r="C57" s="9" t="inlineStr">
        <is>
          <t>DSKY 데이터 로드(V21~V25)</t>
        </is>
      </c>
      <c r="D57" s="9" t="inlineStr">
        <is>
          <t>DskyDataLoadTests</t>
        </is>
      </c>
      <c r="E57" s="9" t="inlineStr">
        <is>
          <t>EnterWithIncompleteVerbOverride_LightsOprErrAndKeepsLoad</t>
        </is>
      </c>
      <c r="F57" s="9" t="inlineStr"/>
      <c r="G57" s="9" t="inlineStr">
        <is>
          <t>통과</t>
        </is>
      </c>
      <c r="H57" s="9" t="n">
        <v>0.2</v>
      </c>
    </row>
    <row r="58">
      <c r="A58" s="8" t="n">
        <v>57</v>
      </c>
      <c r="B58" s="8" t="inlineStr">
        <is>
          <t>단위/연동</t>
        </is>
      </c>
      <c r="C58" s="8" t="inlineStr">
        <is>
          <t>DSKY 데이터 로드(V21~V25)</t>
        </is>
      </c>
      <c r="D58" s="8" t="inlineStr">
        <is>
          <t>DskyDataLoadTests</t>
        </is>
      </c>
      <c r="E58" s="8" t="inlineStr">
        <is>
          <t>Load_AllThreeRegisters_SetsAgcClock</t>
        </is>
      </c>
      <c r="F58" s="8" t="inlineStr"/>
      <c r="G58" s="8" t="inlineStr">
        <is>
          <t>통과</t>
        </is>
      </c>
      <c r="H58" s="8" t="n">
        <v>1.9</v>
      </c>
    </row>
    <row r="59">
      <c r="A59" s="9" t="n">
        <v>58</v>
      </c>
      <c r="B59" s="9" t="inlineStr">
        <is>
          <t>단위/연동</t>
        </is>
      </c>
      <c r="C59" s="9" t="inlineStr">
        <is>
          <t>DSKY 데이터 로드(V21~V25)</t>
        </is>
      </c>
      <c r="D59" s="9" t="inlineStr">
        <is>
          <t>DskyDataLoadTests</t>
        </is>
      </c>
      <c r="E59" s="9" t="inlineStr">
        <is>
          <t>Load_Clear_ErasesCurrentRegisterEntry</t>
        </is>
      </c>
      <c r="F59" s="9" t="inlineStr"/>
      <c r="G59" s="9" t="inlineStr">
        <is>
          <t>통과</t>
        </is>
      </c>
      <c r="H59" s="9" t="n">
        <v>0.3</v>
      </c>
    </row>
    <row r="60">
      <c r="A60" s="8" t="n">
        <v>59</v>
      </c>
      <c r="B60" s="8" t="inlineStr">
        <is>
          <t>단위/연동</t>
        </is>
      </c>
      <c r="C60" s="8" t="inlineStr">
        <is>
          <t>DSKY 데이터 로드(V21~V25)</t>
        </is>
      </c>
      <c r="D60" s="8" t="inlineStr">
        <is>
          <t>DskyDataLoadTests</t>
        </is>
      </c>
      <c r="E60" s="8" t="inlineStr">
        <is>
          <t>Load_DigitWithoutSign_LightsOprErr</t>
        </is>
      </c>
      <c r="F60" s="8" t="inlineStr"/>
      <c r="G60" s="8" t="inlineStr">
        <is>
          <t>통과</t>
        </is>
      </c>
      <c r="H60" s="8" t="n">
        <v>0.7</v>
      </c>
    </row>
    <row r="61">
      <c r="A61" s="9" t="n">
        <v>60</v>
      </c>
      <c r="B61" s="9" t="inlineStr">
        <is>
          <t>단위/연동</t>
        </is>
      </c>
      <c r="C61" s="9" t="inlineStr">
        <is>
          <t>DSKY 데이터 로드(V21~V25)</t>
        </is>
      </c>
      <c r="D61" s="9" t="inlineStr">
        <is>
          <t>DskyDataLoadTests</t>
        </is>
      </c>
      <c r="E61" s="9" t="inlineStr">
        <is>
          <t>Load_EnterWithIncompleteData_LightsOprErrAndKeepsWaiting</t>
        </is>
      </c>
      <c r="F61" s="9" t="inlineStr"/>
      <c r="G61" s="9" t="inlineStr">
        <is>
          <t>통과</t>
        </is>
      </c>
      <c r="H61" s="9" t="n">
        <v>0.5</v>
      </c>
    </row>
    <row r="62">
      <c r="A62" s="8" t="n">
        <v>61</v>
      </c>
      <c r="B62" s="8" t="inlineStr">
        <is>
          <t>단위/연동</t>
        </is>
      </c>
      <c r="C62" s="8" t="inlineStr">
        <is>
          <t>DSKY 데이터 로드(V21~V25)</t>
        </is>
      </c>
      <c r="D62" s="8" t="inlineStr">
        <is>
          <t>DskyDataLoadTests</t>
        </is>
      </c>
      <c r="E62" s="8" t="inlineStr">
        <is>
          <t>Load_MinutesOutOfRange_LightsOprErrAndRestarts</t>
        </is>
      </c>
      <c r="F62" s="8" t="inlineStr"/>
      <c r="G62" s="8" t="inlineStr">
        <is>
          <t>통과</t>
        </is>
      </c>
      <c r="H62" s="8" t="n">
        <v>1.3</v>
      </c>
    </row>
    <row r="63">
      <c r="A63" s="9" t="n">
        <v>62</v>
      </c>
      <c r="B63" s="9" t="inlineStr">
        <is>
          <t>단위/연동</t>
        </is>
      </c>
      <c r="C63" s="9" t="inlineStr">
        <is>
          <t>DSKY 데이터 로드(V21~V25)</t>
        </is>
      </c>
      <c r="D63" s="9" t="inlineStr">
        <is>
          <t>DskyDataLoadTests</t>
        </is>
      </c>
      <c r="E63" s="9" t="inlineStr">
        <is>
          <t>Load_NegativeSign_IsAcceptedAsDataButRejectedAsClockValue</t>
        </is>
      </c>
      <c r="F63" s="9" t="inlineStr"/>
      <c r="G63" s="9" t="inlineStr">
        <is>
          <t>통과</t>
        </is>
      </c>
      <c r="H63" s="9" t="n">
        <v>1.4</v>
      </c>
    </row>
    <row r="64">
      <c r="A64" s="8" t="n">
        <v>63</v>
      </c>
      <c r="B64" s="8" t="inlineStr">
        <is>
          <t>단위/연동</t>
        </is>
      </c>
      <c r="C64" s="8" t="inlineStr">
        <is>
          <t>DSKY 데이터 로드(V21~V25)</t>
        </is>
      </c>
      <c r="D64" s="8" t="inlineStr">
        <is>
          <t>DskyDataLoadTests</t>
        </is>
      </c>
      <c r="E64" s="8" t="inlineStr">
        <is>
          <t>Load_ShowsTypedCharactersProgressively</t>
        </is>
      </c>
      <c r="F64" s="8" t="inlineStr"/>
      <c r="G64" s="8" t="inlineStr">
        <is>
          <t>통과</t>
        </is>
      </c>
      <c r="H64" s="8" t="n">
        <v>1.2</v>
      </c>
    </row>
    <row r="65">
      <c r="A65" s="9" t="n">
        <v>64</v>
      </c>
      <c r="B65" s="9" t="inlineStr">
        <is>
          <t>단위/연동</t>
        </is>
      </c>
      <c r="C65" s="9" t="inlineStr">
        <is>
          <t>DSKY 데이터 로드(V21~V25)</t>
        </is>
      </c>
      <c r="D65" s="9" t="inlineStr">
        <is>
          <t>DskyDataLoadTests</t>
        </is>
      </c>
      <c r="E65" s="9" t="inlineStr">
        <is>
          <t>Load_SignWhileTyping_LightsOprErr</t>
        </is>
      </c>
      <c r="F65" s="9" t="inlineStr"/>
      <c r="G65" s="9" t="inlineStr">
        <is>
          <t>통과</t>
        </is>
      </c>
      <c r="H65" s="9" t="n">
        <v>0.7</v>
      </c>
    </row>
    <row r="66">
      <c r="A66" s="8" t="n">
        <v>65</v>
      </c>
      <c r="B66" s="8" t="inlineStr">
        <is>
          <t>단위/연동</t>
        </is>
      </c>
      <c r="C66" s="8" t="inlineStr">
        <is>
          <t>DSKY 데이터 로드(V21~V25)</t>
        </is>
      </c>
      <c r="D66" s="8" t="inlineStr">
        <is>
          <t>DskyDataLoadTests</t>
        </is>
      </c>
      <c r="E66" s="8" t="inlineStr">
        <is>
          <t>Load_SixthDigit_LightsOprErr</t>
        </is>
      </c>
      <c r="F66" s="8" t="inlineStr"/>
      <c r="G66" s="8" t="inlineStr">
        <is>
          <t>통과</t>
        </is>
      </c>
      <c r="H66" s="8" t="n">
        <v>0.7</v>
      </c>
    </row>
    <row r="67">
      <c r="A67" s="9" t="n">
        <v>66</v>
      </c>
      <c r="B67" s="9" t="inlineStr">
        <is>
          <t>단위/연동</t>
        </is>
      </c>
      <c r="C67" s="9" t="inlineStr">
        <is>
          <t>DSKY 데이터 로드(V21~V25)</t>
        </is>
      </c>
      <c r="D67" s="9" t="inlineStr">
        <is>
          <t>DskyDataLoadTests</t>
        </is>
      </c>
      <c r="E67" s="9" t="inlineStr">
        <is>
          <t>LoadedClock_KeepsRunningWithMissionTime</t>
        </is>
      </c>
      <c r="F67" s="9" t="inlineStr"/>
      <c r="G67" s="9" t="inlineStr">
        <is>
          <t>통과</t>
        </is>
      </c>
      <c r="H67" s="9" t="n">
        <v>1.8</v>
      </c>
    </row>
    <row r="68">
      <c r="A68" s="8" t="n">
        <v>67</v>
      </c>
      <c r="B68" s="8" t="inlineStr">
        <is>
          <t>단위/연동</t>
        </is>
      </c>
      <c r="C68" s="8" t="inlineStr">
        <is>
          <t>DSKY 데이터 로드(V21~V25)</t>
        </is>
      </c>
      <c r="D68" s="8" t="inlineStr">
        <is>
          <t>DskyDataLoadTests</t>
        </is>
      </c>
      <c r="E68" s="8" t="inlineStr">
        <is>
          <t>OtherVerbExecutedDuringLoad_ReplacesTheLoad</t>
        </is>
      </c>
      <c r="F68" s="8" t="inlineStr"/>
      <c r="G68" s="8" t="inlineStr">
        <is>
          <t>통과</t>
        </is>
      </c>
      <c r="H68" s="8" t="n">
        <v>0.2</v>
      </c>
    </row>
    <row r="69">
      <c r="A69" s="9" t="n">
        <v>68</v>
      </c>
      <c r="B69" s="9" t="inlineStr">
        <is>
          <t>단위/연동</t>
        </is>
      </c>
      <c r="C69" s="9" t="inlineStr">
        <is>
          <t>DSKY 데이터 로드(V21~V25)</t>
        </is>
      </c>
      <c r="D69" s="9" t="inlineStr">
        <is>
          <t>DskyDataLoadTests</t>
        </is>
      </c>
      <c r="E69" s="9" t="inlineStr">
        <is>
          <t>ProKey_DuringLoad_IsIgnored</t>
        </is>
      </c>
      <c r="F69" s="9" t="inlineStr"/>
      <c r="G69" s="9" t="inlineStr">
        <is>
          <t>통과</t>
        </is>
      </c>
      <c r="H69" s="9" t="n">
        <v>0.1</v>
      </c>
    </row>
    <row r="70">
      <c r="A70" s="8" t="n">
        <v>69</v>
      </c>
      <c r="B70" s="8" t="inlineStr">
        <is>
          <t>단위/연동</t>
        </is>
      </c>
      <c r="C70" s="8" t="inlineStr">
        <is>
          <t>DSKY 데이터 로드(V21~V25)</t>
        </is>
      </c>
      <c r="D70" s="8" t="inlineStr">
        <is>
          <t>DskyDataLoadTests</t>
        </is>
      </c>
      <c r="E70" s="8" t="inlineStr">
        <is>
          <t>V21N36_ClockNounRequiresLoadingAllThreeRegisters</t>
        </is>
      </c>
      <c r="F70" s="8" t="inlineStr"/>
      <c r="G70" s="8" t="inlineStr">
        <is>
          <t>통과</t>
        </is>
      </c>
      <c r="H70" s="8" t="n">
        <v>0.2</v>
      </c>
    </row>
    <row r="71">
      <c r="A71" s="9" t="n">
        <v>70</v>
      </c>
      <c r="B71" s="9" t="inlineStr">
        <is>
          <t>단위/연동</t>
        </is>
      </c>
      <c r="C71" s="9" t="inlineStr">
        <is>
          <t>DSKY 데이터 로드(V21~V25)</t>
        </is>
      </c>
      <c r="D71" s="9" t="inlineStr">
        <is>
          <t>DskyDataLoadTests</t>
        </is>
      </c>
      <c r="E71" s="9" t="inlineStr">
        <is>
          <t>V25N36_StartsLoad_FlashesAndBlanksRegisters</t>
        </is>
      </c>
      <c r="F71" s="9" t="inlineStr"/>
      <c r="G71" s="9" t="inlineStr">
        <is>
          <t>통과</t>
        </is>
      </c>
      <c r="H71" s="9" t="n">
        <v>1.1</v>
      </c>
    </row>
    <row r="72">
      <c r="A72" s="8" t="n">
        <v>71</v>
      </c>
      <c r="B72" s="8" t="inlineStr">
        <is>
          <t>단위/연동</t>
        </is>
      </c>
      <c r="C72" s="8" t="inlineStr">
        <is>
          <t>DSKY 데이터 로드(V21~V25)</t>
        </is>
      </c>
      <c r="D72" s="8" t="inlineStr">
        <is>
          <t>DskyDataLoadTests</t>
        </is>
      </c>
      <c r="E72" s="8" t="inlineStr">
        <is>
          <t>V25N43_NonLoadableNoun_LightsOprErr</t>
        </is>
      </c>
      <c r="F72" s="8" t="inlineStr"/>
      <c r="G72" s="8" t="inlineStr">
        <is>
          <t>통과</t>
        </is>
      </c>
      <c r="H72" s="8" t="n">
        <v>0.1</v>
      </c>
    </row>
    <row r="73">
      <c r="A73" s="9" t="n">
        <v>72</v>
      </c>
      <c r="B73" s="9" t="inlineStr">
        <is>
          <t>단위/연동</t>
        </is>
      </c>
      <c r="C73" s="9" t="inlineStr">
        <is>
          <t>DSKY 데이터 로드(V21~V25)</t>
        </is>
      </c>
      <c r="D73" s="9" t="inlineStr">
        <is>
          <t>DskyDataLoadTests</t>
        </is>
      </c>
      <c r="E73" s="9" t="inlineStr">
        <is>
          <t>V33_ProceedWithoutData_EndsLoadAndKeepsClock</t>
        </is>
      </c>
      <c r="F73" s="9" t="inlineStr"/>
      <c r="G73" s="9" t="inlineStr">
        <is>
          <t>통과</t>
        </is>
      </c>
      <c r="H73" s="9" t="n">
        <v>0.3</v>
      </c>
    </row>
    <row r="74">
      <c r="A74" s="8" t="n">
        <v>73</v>
      </c>
      <c r="B74" s="8" t="inlineStr">
        <is>
          <t>단위/연동</t>
        </is>
      </c>
      <c r="C74" s="8" t="inlineStr">
        <is>
          <t>DSKY 데이터 로드(V21~V25)</t>
        </is>
      </c>
      <c r="D74" s="8" t="inlineStr">
        <is>
          <t>DskyDataLoadTests</t>
        </is>
      </c>
      <c r="E74" s="8" t="inlineStr">
        <is>
          <t>V34_DuringLoad_IsAcceptedAndTerminatesWithoutError</t>
        </is>
      </c>
      <c r="F74" s="8" t="inlineStr"/>
      <c r="G74" s="8" t="inlineStr">
        <is>
          <t>통과</t>
        </is>
      </c>
      <c r="H74" s="8" t="n">
        <v>0.2</v>
      </c>
    </row>
    <row r="75">
      <c r="A75" s="9" t="n">
        <v>74</v>
      </c>
      <c r="B75" s="9" t="inlineStr">
        <is>
          <t>단위/연동</t>
        </is>
      </c>
      <c r="C75" s="9" t="inlineStr">
        <is>
          <t>DSKY 데이터 로드(V21~V25)</t>
        </is>
      </c>
      <c r="D75" s="9" t="inlineStr">
        <is>
          <t>DskyDataLoadTests</t>
        </is>
      </c>
      <c r="E75" s="9" t="inlineStr">
        <is>
          <t>V34_TerminatesLoadWithoutChangingClock</t>
        </is>
      </c>
      <c r="F75" s="9" t="inlineStr"/>
      <c r="G75" s="9" t="inlineStr">
        <is>
          <t>통과</t>
        </is>
      </c>
      <c r="H75" s="9" t="n">
        <v>0.3</v>
      </c>
    </row>
    <row r="76">
      <c r="A76" s="8" t="n">
        <v>75</v>
      </c>
      <c r="B76" s="8" t="inlineStr">
        <is>
          <t>단위/연동</t>
        </is>
      </c>
      <c r="C76" s="8" t="inlineStr">
        <is>
          <t>DSKY 데이터 로드(V21~V25)</t>
        </is>
      </c>
      <c r="D76" s="8" t="inlineStr">
        <is>
          <t>DskyDataLoadTests</t>
        </is>
      </c>
      <c r="E76" s="8" t="inlineStr">
        <is>
          <t>V37_CanBeCancelledWithV34</t>
        </is>
      </c>
      <c r="F76" s="8" t="inlineStr"/>
      <c r="G76" s="8" t="inlineStr">
        <is>
          <t>통과</t>
        </is>
      </c>
      <c r="H76" s="8" t="n">
        <v>0.4</v>
      </c>
    </row>
    <row r="77">
      <c r="A77" s="9" t="n">
        <v>76</v>
      </c>
      <c r="B77" s="9" t="inlineStr">
        <is>
          <t>단위/연동</t>
        </is>
      </c>
      <c r="C77" s="9" t="inlineStr">
        <is>
          <t>DSKY 데이터 로드(V21~V25)</t>
        </is>
      </c>
      <c r="D77" s="9" t="inlineStr">
        <is>
          <t>DskyDataLoadTests</t>
        </is>
      </c>
      <c r="E77" s="9" t="inlineStr">
        <is>
          <t>VerbKey_DuringLoad_KeepsLoadWaitingUntilAVerbIsExecuted</t>
        </is>
      </c>
      <c r="F77" s="9" t="inlineStr"/>
      <c r="G77" s="9" t="inlineStr">
        <is>
          <t>통과</t>
        </is>
      </c>
      <c r="H77" s="9" t="n">
        <v>0.2</v>
      </c>
    </row>
    <row r="78">
      <c r="A78" s="8" t="n">
        <v>77</v>
      </c>
      <c r="B78" s="8" t="inlineStr">
        <is>
          <t>단위/연동</t>
        </is>
      </c>
      <c r="C78" s="8" t="inlineStr">
        <is>
          <t>V37 · 표시 요청 · KEY REL</t>
        </is>
      </c>
      <c r="D78" s="8" t="inlineStr">
        <is>
          <t>DskyProgramAndDisplayRequestTests</t>
        </is>
      </c>
      <c r="E78" s="8" t="inlineStr">
        <is>
          <t>CrewTypingOverAProgramDisplay_ProtectsItFromTheNextRequest</t>
        </is>
      </c>
      <c r="F78" s="8" t="inlineStr"/>
      <c r="G78" s="8" t="inlineStr">
        <is>
          <t>통과</t>
        </is>
      </c>
      <c r="H78" s="8" t="n">
        <v>0.2</v>
      </c>
    </row>
    <row r="79">
      <c r="A79" s="9" t="n">
        <v>78</v>
      </c>
      <c r="B79" s="9" t="inlineStr">
        <is>
          <t>단위/연동</t>
        </is>
      </c>
      <c r="C79" s="9" t="inlineStr">
        <is>
          <t>V37 · 표시 요청 · KEY REL</t>
        </is>
      </c>
      <c r="D79" s="9" t="inlineStr">
        <is>
          <t>DskyProgramAndDisplayRequestTests</t>
        </is>
      </c>
      <c r="E79" s="9" t="inlineStr">
        <is>
          <t>KeyRelease_ShowsPendingRequestAndTurnsLampOff</t>
        </is>
      </c>
      <c r="F79" s="9" t="inlineStr"/>
      <c r="G79" s="9" t="inlineStr">
        <is>
          <t>통과</t>
        </is>
      </c>
      <c r="H79" s="9" t="n">
        <v>0.3</v>
      </c>
    </row>
    <row r="80">
      <c r="A80" s="8" t="n">
        <v>79</v>
      </c>
      <c r="B80" s="8" t="inlineStr">
        <is>
          <t>단위/연동</t>
        </is>
      </c>
      <c r="C80" s="8" t="inlineStr">
        <is>
          <t>V37 · 표시 요청 · KEY REL</t>
        </is>
      </c>
      <c r="D80" s="8" t="inlineStr">
        <is>
          <t>DskyProgramAndDisplayRequestTests</t>
        </is>
      </c>
      <c r="E80" s="8" t="inlineStr">
        <is>
          <t>KeysPressedDuringLampTest_AreIgnored</t>
        </is>
      </c>
      <c r="F80" s="8" t="inlineStr"/>
      <c r="G80" s="8" t="inlineStr">
        <is>
          <t>통과</t>
        </is>
      </c>
      <c r="H80" s="8" t="n">
        <v>0.2</v>
      </c>
    </row>
    <row r="81">
      <c r="A81" s="9" t="n">
        <v>80</v>
      </c>
      <c r="B81" s="9" t="inlineStr">
        <is>
          <t>단위/연동</t>
        </is>
      </c>
      <c r="C81" s="9" t="inlineStr">
        <is>
          <t>V37 · 표시 요청 · KEY REL</t>
        </is>
      </c>
      <c r="D81" s="9" t="inlineStr">
        <is>
          <t>DskyProgramAndDisplayRequestTests</t>
        </is>
      </c>
      <c r="E81" s="9" t="inlineStr">
        <is>
          <t>NormalDisplay_DoesNotFlash</t>
        </is>
      </c>
      <c r="F81" s="9" t="inlineStr"/>
      <c r="G81" s="9" t="inlineStr">
        <is>
          <t>통과</t>
        </is>
      </c>
      <c r="H81" s="9" t="n">
        <v>0.1</v>
      </c>
    </row>
    <row r="82">
      <c r="A82" s="8" t="n">
        <v>81</v>
      </c>
      <c r="B82" s="8" t="inlineStr">
        <is>
          <t>단위/연동</t>
        </is>
      </c>
      <c r="C82" s="8" t="inlineStr">
        <is>
          <t>V37 · 표시 요청 · KEY REL</t>
        </is>
      </c>
      <c r="D82" s="8" t="inlineStr">
        <is>
          <t>DskyProgramAndDisplayRequestTests</t>
        </is>
      </c>
      <c r="E82" s="8" t="inlineStr">
        <is>
          <t>Pro_AcknowledgesFlashingRequest_KeepsDisplay</t>
        </is>
      </c>
      <c r="F82" s="8" t="inlineStr"/>
      <c r="G82" s="8" t="inlineStr">
        <is>
          <t>통과</t>
        </is>
      </c>
      <c r="H82" s="8" t="n">
        <v>0.1</v>
      </c>
    </row>
    <row r="83">
      <c r="A83" s="9" t="n">
        <v>82</v>
      </c>
      <c r="B83" s="9" t="inlineStr">
        <is>
          <t>단위/연동</t>
        </is>
      </c>
      <c r="C83" s="9" t="inlineStr">
        <is>
          <t>V37 · 표시 요청 · KEY REL</t>
        </is>
      </c>
      <c r="D83" s="9" t="inlineStr">
        <is>
          <t>DskyProgramAndDisplayRequestTests</t>
        </is>
      </c>
      <c r="E83" s="9" t="inlineStr">
        <is>
          <t>ProgramDisplay_IsReplacedByNextProgramDisplay_WithoutKeyRel</t>
        </is>
      </c>
      <c r="F83" s="9" t="inlineStr"/>
      <c r="G83" s="9" t="inlineStr">
        <is>
          <t>통과</t>
        </is>
      </c>
      <c r="H83" s="9" t="n">
        <v>0.2</v>
      </c>
    </row>
    <row r="84">
      <c r="A84" s="8" t="n">
        <v>83</v>
      </c>
      <c r="B84" s="8" t="inlineStr">
        <is>
          <t>단위/연동</t>
        </is>
      </c>
      <c r="C84" s="8" t="inlineStr">
        <is>
          <t>V37 · 표시 요청 · KEY REL</t>
        </is>
      </c>
      <c r="D84" s="8" t="inlineStr">
        <is>
          <t>DskyProgramAndDisplayRequestTests</t>
        </is>
      </c>
      <c r="E84" s="8" t="inlineStr">
        <is>
          <t>ProgramDisplay_TakenOverByTheCrew_ThenNextRequestLightsKeyRel</t>
        </is>
      </c>
      <c r="F84" s="8" t="inlineStr"/>
      <c r="G84" s="8" t="inlineStr">
        <is>
          <t>통과</t>
        </is>
      </c>
      <c r="H84" s="8" t="n">
        <v>0.2</v>
      </c>
    </row>
    <row r="85">
      <c r="A85" s="9" t="n">
        <v>84</v>
      </c>
      <c r="B85" s="9" t="inlineStr">
        <is>
          <t>단위/연동</t>
        </is>
      </c>
      <c r="C85" s="9" t="inlineStr">
        <is>
          <t>V37 · 표시 요청 · KEY REL</t>
        </is>
      </c>
      <c r="D85" s="9" t="inlineStr">
        <is>
          <t>DskyProgramAndDisplayRequestTests</t>
        </is>
      </c>
      <c r="E85" s="9" t="inlineStr">
        <is>
          <t>RequestDisplay_UnsupportedNoun_IsIgnoredAndLogged</t>
        </is>
      </c>
      <c r="F85" s="9" t="inlineStr"/>
      <c r="G85" s="9" t="inlineStr">
        <is>
          <t>통과</t>
        </is>
      </c>
      <c r="H85" s="9" t="n">
        <v>0.3</v>
      </c>
    </row>
    <row r="86">
      <c r="A86" s="8" t="n">
        <v>85</v>
      </c>
      <c r="B86" s="8" t="inlineStr">
        <is>
          <t>단위/연동</t>
        </is>
      </c>
      <c r="C86" s="8" t="inlineStr">
        <is>
          <t>V37 · 표시 요청 · KEY REL</t>
        </is>
      </c>
      <c r="D86" s="8" t="inlineStr">
        <is>
          <t>DskyProgramAndDisplayRequestTests</t>
        </is>
      </c>
      <c r="E86" s="8" t="inlineStr">
        <is>
          <t>RequestDisplay_WhenIdle_ShowsImmediatelyAndFlashes</t>
        </is>
      </c>
      <c r="F86" s="8" t="inlineStr"/>
      <c r="G86" s="8" t="inlineStr">
        <is>
          <t>통과</t>
        </is>
      </c>
      <c r="H86" s="8" t="n">
        <v>0.2</v>
      </c>
    </row>
    <row r="87">
      <c r="A87" s="9" t="n">
        <v>86</v>
      </c>
      <c r="B87" s="9" t="inlineStr">
        <is>
          <t>단위/연동</t>
        </is>
      </c>
      <c r="C87" s="9" t="inlineStr">
        <is>
          <t>V37 · 표시 요청 · KEY REL</t>
        </is>
      </c>
      <c r="D87" s="9" t="inlineStr">
        <is>
          <t>DskyProgramAndDisplayRequestTests</t>
        </is>
      </c>
      <c r="E87" s="9" t="inlineStr">
        <is>
          <t>RequestDisplay_WhileCrewMonitoring_LightsKeyRelAndWaits</t>
        </is>
      </c>
      <c r="F87" s="9" t="inlineStr"/>
      <c r="G87" s="9" t="inlineStr">
        <is>
          <t>통과</t>
        </is>
      </c>
      <c r="H87" s="9" t="n">
        <v>0.1</v>
      </c>
    </row>
    <row r="88">
      <c r="A88" s="8" t="n">
        <v>87</v>
      </c>
      <c r="B88" s="8" t="inlineStr">
        <is>
          <t>단위/연동</t>
        </is>
      </c>
      <c r="C88" s="8" t="inlineStr">
        <is>
          <t>V37 · 표시 요청 · KEY REL</t>
        </is>
      </c>
      <c r="D88" s="8" t="inlineStr">
        <is>
          <t>DskyProgramAndDisplayRequestTests</t>
        </is>
      </c>
      <c r="E88" s="8" t="inlineStr">
        <is>
          <t>RequestDisplay_WhileCrewTyping_LightsKeyRelAndWaits</t>
        </is>
      </c>
      <c r="F88" s="8" t="inlineStr"/>
      <c r="G88" s="8" t="inlineStr">
        <is>
          <t>통과</t>
        </is>
      </c>
      <c r="H88" s="8" t="n">
        <v>0.2</v>
      </c>
    </row>
    <row r="89">
      <c r="A89" s="9" t="n">
        <v>88</v>
      </c>
      <c r="B89" s="9" t="inlineStr">
        <is>
          <t>단위/연동</t>
        </is>
      </c>
      <c r="C89" s="9" t="inlineStr">
        <is>
          <t>V37 · 표시 요청 · KEY REL</t>
        </is>
      </c>
      <c r="D89" s="9" t="inlineStr">
        <is>
          <t>DskyProgramAndDisplayRequestTests</t>
        </is>
      </c>
      <c r="E89" s="9" t="inlineStr">
        <is>
          <t>V16Monitor_RefreshesOncePerSecond</t>
        </is>
      </c>
      <c r="F89" s="9" t="inlineStr"/>
      <c r="G89" s="9" t="inlineStr">
        <is>
          <t>통과</t>
        </is>
      </c>
      <c r="H89" s="9" t="n">
        <v>0.3</v>
      </c>
    </row>
    <row r="90">
      <c r="A90" s="8" t="n">
        <v>89</v>
      </c>
      <c r="B90" s="8" t="inlineStr">
        <is>
          <t>단위/연동</t>
        </is>
      </c>
      <c r="C90" s="8" t="inlineStr">
        <is>
          <t>V37 · 표시 요청 · KEY REL</t>
        </is>
      </c>
      <c r="D90" s="8" t="inlineStr">
        <is>
          <t>DskyProgramAndDisplayRequestTests</t>
        </is>
      </c>
      <c r="E90" s="8" t="inlineStr">
        <is>
          <t>V34_TerminatesFlashingRequest</t>
        </is>
      </c>
      <c r="F90" s="8" t="inlineStr"/>
      <c r="G90" s="8" t="inlineStr">
        <is>
          <t>통과</t>
        </is>
      </c>
      <c r="H90" s="8" t="n">
        <v>0.1</v>
      </c>
    </row>
    <row r="91">
      <c r="A91" s="9" t="n">
        <v>90</v>
      </c>
      <c r="B91" s="9" t="inlineStr">
        <is>
          <t>단위/연동</t>
        </is>
      </c>
      <c r="C91" s="9" t="inlineStr">
        <is>
          <t>V37 · 표시 요청 · KEY REL</t>
        </is>
      </c>
      <c r="D91" s="9" t="inlineStr">
        <is>
          <t>DskyProgramAndDisplayRequestTests</t>
        </is>
      </c>
      <c r="E91" s="9" t="inlineStr">
        <is>
          <t>V34_TerminatesRunningMonitor_AndFreesTheDisplayForRequests</t>
        </is>
      </c>
      <c r="F91" s="9" t="inlineStr"/>
      <c r="G91" s="9" t="inlineStr">
        <is>
          <t>통과</t>
        </is>
      </c>
      <c r="H91" s="9" t="n">
        <v>0.3</v>
      </c>
    </row>
    <row r="92">
      <c r="A92" s="8" t="n">
        <v>91</v>
      </c>
      <c r="B92" s="8" t="inlineStr">
        <is>
          <t>단위/연동</t>
        </is>
      </c>
      <c r="C92" s="8" t="inlineStr">
        <is>
          <t>V37 · 표시 요청 · KEY REL</t>
        </is>
      </c>
      <c r="D92" s="8" t="inlineStr">
        <is>
          <t>DskyProgramAndDisplayRequestTests</t>
        </is>
      </c>
      <c r="E92" s="8" t="inlineStr">
        <is>
          <t>V35Residue_IsClearedByKeyRelease</t>
        </is>
      </c>
      <c r="F92" s="8" t="inlineStr"/>
      <c r="G92" s="8" t="inlineStr">
        <is>
          <t>통과</t>
        </is>
      </c>
      <c r="H92" s="8" t="n">
        <v>0.2</v>
      </c>
    </row>
    <row r="93">
      <c r="A93" s="9" t="n">
        <v>92</v>
      </c>
      <c r="B93" s="9" t="inlineStr">
        <is>
          <t>단위/연동</t>
        </is>
      </c>
      <c r="C93" s="9" t="inlineStr">
        <is>
          <t>V37 · 표시 요청 · KEY REL</t>
        </is>
      </c>
      <c r="D93" s="9" t="inlineStr">
        <is>
          <t>DskyProgramAndDisplayRequestTests</t>
        </is>
      </c>
      <c r="E93" s="9" t="inlineStr">
        <is>
          <t>V35_FlashesVerbNounDuringTest_AndLeaves88sAfterwards</t>
        </is>
      </c>
      <c r="F93" s="9" t="inlineStr"/>
      <c r="G93" s="9" t="inlineStr">
        <is>
          <t>통과</t>
        </is>
      </c>
      <c r="H93" s="9" t="n">
        <v>0.3</v>
      </c>
    </row>
    <row r="94">
      <c r="A94" s="8" t="n">
        <v>93</v>
      </c>
      <c r="B94" s="8" t="inlineStr">
        <is>
          <t>단위/연동</t>
        </is>
      </c>
      <c r="C94" s="8" t="inlineStr">
        <is>
          <t>V37 · 표시 요청 · KEY REL</t>
        </is>
      </c>
      <c r="D94" s="8" t="inlineStr">
        <is>
          <t>DskyProgramAndDisplayRequestTests</t>
        </is>
      </c>
      <c r="E94" s="8" t="inlineStr">
        <is>
          <t>V37_AwaitsProgramNumber_FlashingAndEchoesDigitsInNounWindow</t>
        </is>
      </c>
      <c r="F94" s="8" t="inlineStr"/>
      <c r="G94" s="8" t="inlineStr">
        <is>
          <t>통과</t>
        </is>
      </c>
      <c r="H94" s="8" t="n">
        <v>0.7</v>
      </c>
    </row>
    <row r="95">
      <c r="A95" s="9" t="n">
        <v>94</v>
      </c>
      <c r="B95" s="9" t="inlineStr">
        <is>
          <t>단위/연동</t>
        </is>
      </c>
      <c r="C95" s="9" t="inlineStr">
        <is>
          <t>V37 · 표시 요청 · KEY REL</t>
        </is>
      </c>
      <c r="D95" s="9" t="inlineStr">
        <is>
          <t>DskyProgramAndDisplayRequestTests</t>
        </is>
      </c>
      <c r="E95" s="9" t="inlineStr">
        <is>
          <t>V37_EntrWithOneDigit_LightsOprErrAndKeepsWaiting</t>
        </is>
      </c>
      <c r="F95" s="9" t="inlineStr"/>
      <c r="G95" s="9" t="inlineStr">
        <is>
          <t>통과</t>
        </is>
      </c>
      <c r="H95" s="9" t="n">
        <v>0.2</v>
      </c>
    </row>
    <row r="96">
      <c r="A96" s="8" t="n">
        <v>95</v>
      </c>
      <c r="B96" s="8" t="inlineStr">
        <is>
          <t>단위/연동</t>
        </is>
      </c>
      <c r="C96" s="8" t="inlineStr">
        <is>
          <t>V37 · 표시 요청 · KEY REL</t>
        </is>
      </c>
      <c r="D96" s="8" t="inlineStr">
        <is>
          <t>DskyProgramAndDisplayRequestTests</t>
        </is>
      </c>
      <c r="E96" s="8" t="inlineStr">
        <is>
          <t>V37_NounKey_AbortsProgramEntry</t>
        </is>
      </c>
      <c r="F96" s="8" t="inlineStr"/>
      <c r="G96" s="8" t="inlineStr">
        <is>
          <t>통과</t>
        </is>
      </c>
      <c r="H96" s="8" t="n">
        <v>0.1</v>
      </c>
    </row>
    <row r="97">
      <c r="A97" s="9" t="n">
        <v>96</v>
      </c>
      <c r="B97" s="9" t="inlineStr">
        <is>
          <t>단위/연동</t>
        </is>
      </c>
      <c r="C97" s="9" t="inlineStr">
        <is>
          <t>V37 · 표시 요청 · KEY REL</t>
        </is>
      </c>
      <c r="D97" s="9" t="inlineStr">
        <is>
          <t>DskyProgramAndDisplayRequestTests</t>
        </is>
      </c>
      <c r="E97" s="9" t="inlineStr">
        <is>
          <t>V37_ProgramNumberEntr_RequestsProgramAndStopsFlashing</t>
        </is>
      </c>
      <c r="F97" s="9" t="inlineStr"/>
      <c r="G97" s="9" t="inlineStr">
        <is>
          <t>통과</t>
        </is>
      </c>
      <c r="H97" s="9" t="n">
        <v>1</v>
      </c>
    </row>
    <row r="98">
      <c r="A98" s="8" t="n">
        <v>97</v>
      </c>
      <c r="B98" s="8" t="inlineStr">
        <is>
          <t>단위/연동</t>
        </is>
      </c>
      <c r="C98" s="8" t="inlineStr">
        <is>
          <t>V37 · 표시 요청 · KEY REL</t>
        </is>
      </c>
      <c r="D98" s="8" t="inlineStr">
        <is>
          <t>DskyProgramAndDisplayRequestTests</t>
        </is>
      </c>
      <c r="E98" s="8" t="inlineStr">
        <is>
          <t>V37_RejectedProgram_LightsOprErr</t>
        </is>
      </c>
      <c r="F98" s="8" t="inlineStr"/>
      <c r="G98" s="8" t="inlineStr">
        <is>
          <t>통과</t>
        </is>
      </c>
      <c r="H98" s="8" t="n">
        <v>0.9</v>
      </c>
    </row>
    <row r="99">
      <c r="A99" s="9" t="n">
        <v>98</v>
      </c>
      <c r="B99" s="9" t="inlineStr">
        <is>
          <t>단위/연동</t>
        </is>
      </c>
      <c r="C99" s="9" t="inlineStr">
        <is>
          <t>V37 · 표시 요청 · KEY REL</t>
        </is>
      </c>
      <c r="D99" s="9" t="inlineStr">
        <is>
          <t>DskyProgramAndDisplayRequestTests</t>
        </is>
      </c>
      <c r="E99" s="9" t="inlineStr">
        <is>
          <t>V37_WithoutProgramControl_LightsOprErr</t>
        </is>
      </c>
      <c r="F99" s="9" t="inlineStr"/>
      <c r="G99" s="9" t="inlineStr">
        <is>
          <t>통과</t>
        </is>
      </c>
      <c r="H99" s="9" t="n">
        <v>0.7</v>
      </c>
    </row>
    <row r="100">
      <c r="A100" s="8" t="n">
        <v>99</v>
      </c>
      <c r="B100" s="8" t="inlineStr">
        <is>
          <t>단위/연동</t>
        </is>
      </c>
      <c r="C100" s="8" t="inlineStr">
        <is>
          <t>미션 타임라인</t>
        </is>
      </c>
      <c r="D100" s="8" t="inlineStr">
        <is>
          <t>MissionTimelineTests</t>
        </is>
      </c>
      <c r="E100" s="8" t="inlineStr">
        <is>
          <t>Alarms_AreSortedByMet</t>
        </is>
      </c>
      <c r="F100" s="8" t="inlineStr"/>
      <c r="G100" s="8" t="inlineStr">
        <is>
          <t>통과</t>
        </is>
      </c>
      <c r="H100" s="8" t="n">
        <v>0.9</v>
      </c>
    </row>
    <row r="101">
      <c r="A101" s="9" t="n">
        <v>100</v>
      </c>
      <c r="B101" s="9" t="inlineStr">
        <is>
          <t>단위/연동</t>
        </is>
      </c>
      <c r="C101" s="9" t="inlineStr">
        <is>
          <t>미션 타임라인</t>
        </is>
      </c>
      <c r="D101" s="9" t="inlineStr">
        <is>
          <t>MissionTimelineTests</t>
        </is>
      </c>
      <c r="E101" s="9" t="inlineStr">
        <is>
          <t>Constructor_EmptyKeyframes_Throws</t>
        </is>
      </c>
      <c r="F101" s="9" t="inlineStr"/>
      <c r="G101" s="9" t="inlineStr">
        <is>
          <t>통과</t>
        </is>
      </c>
      <c r="H101" s="9" t="n">
        <v>1.5</v>
      </c>
    </row>
    <row r="102">
      <c r="A102" s="8" t="n">
        <v>101</v>
      </c>
      <c r="B102" s="8" t="inlineStr">
        <is>
          <t>단위/연동</t>
        </is>
      </c>
      <c r="C102" s="8" t="inlineStr">
        <is>
          <t>미션 타임라인</t>
        </is>
      </c>
      <c r="D102" s="8" t="inlineStr">
        <is>
          <t>MissionTimelineTests</t>
        </is>
      </c>
      <c r="E102" s="8" t="inlineStr">
        <is>
          <t>Constructor_NonIncreasingMet_Throws</t>
        </is>
      </c>
      <c r="F102" s="8" t="inlineStr"/>
      <c r="G102" s="8" t="inlineStr">
        <is>
          <t>통과</t>
        </is>
      </c>
      <c r="H102" s="8" t="n">
        <v>1.5</v>
      </c>
    </row>
    <row r="103">
      <c r="A103" s="9" t="n">
        <v>102</v>
      </c>
      <c r="B103" s="9" t="inlineStr">
        <is>
          <t>단위/연동</t>
        </is>
      </c>
      <c r="C103" s="9" t="inlineStr">
        <is>
          <t>미션 타임라인</t>
        </is>
      </c>
      <c r="D103" s="9" t="inlineStr">
        <is>
          <t>MissionTimelineTests</t>
        </is>
      </c>
      <c r="E103" s="9" t="inlineStr">
        <is>
          <t>DisplayRequests_DefaultToNone_AndAreExposedWhenGiven</t>
        </is>
      </c>
      <c r="F103" s="9" t="inlineStr"/>
      <c r="G103" s="9" t="inlineStr">
        <is>
          <t>통과</t>
        </is>
      </c>
      <c r="H103" s="9" t="n">
        <v>1</v>
      </c>
    </row>
    <row r="104">
      <c r="A104" s="8" t="n">
        <v>103</v>
      </c>
      <c r="B104" s="8" t="inlineStr">
        <is>
          <t>단위/연동</t>
        </is>
      </c>
      <c r="C104" s="8" t="inlineStr">
        <is>
          <t>미션 타임라인</t>
        </is>
      </c>
      <c r="D104" s="8" t="inlineStr">
        <is>
          <t>MissionTimelineTests</t>
        </is>
      </c>
      <c r="E104" s="8" t="inlineStr">
        <is>
          <t>Duration_IsLastKeyframeMet</t>
        </is>
      </c>
      <c r="F104" s="8" t="inlineStr"/>
      <c r="G104" s="8" t="inlineStr">
        <is>
          <t>통과</t>
        </is>
      </c>
      <c r="H104" s="8" t="n">
        <v>0.5</v>
      </c>
    </row>
    <row r="105">
      <c r="A105" s="9" t="n">
        <v>104</v>
      </c>
      <c r="B105" s="9" t="inlineStr">
        <is>
          <t>단위/연동</t>
        </is>
      </c>
      <c r="C105" s="9" t="inlineStr">
        <is>
          <t>미션 타임라인</t>
        </is>
      </c>
      <c r="D105" s="9" t="inlineStr">
        <is>
          <t>MissionTimelineTests</t>
        </is>
      </c>
      <c r="E105" s="9" t="inlineStr">
        <is>
          <t>Snapshot_AtLastKeyframe_UsesItsValuesAndPhaseIndex</t>
        </is>
      </c>
      <c r="F105" s="9" t="inlineStr"/>
      <c r="G105" s="9" t="inlineStr">
        <is>
          <t>통과</t>
        </is>
      </c>
      <c r="H105" s="9" t="n">
        <v>0.2</v>
      </c>
    </row>
    <row r="106">
      <c r="A106" s="8" t="n">
        <v>105</v>
      </c>
      <c r="B106" s="8" t="inlineStr">
        <is>
          <t>단위/연동</t>
        </is>
      </c>
      <c r="C106" s="8" t="inlineStr">
        <is>
          <t>미션 타임라인</t>
        </is>
      </c>
      <c r="D106" s="8" t="inlineStr">
        <is>
          <t>MissionTimelineTests</t>
        </is>
      </c>
      <c r="E106" s="8" t="inlineStr">
        <is>
          <t>Snapshot_BodyChange_HoldsPreviousValues</t>
        </is>
      </c>
      <c r="F106" s="8" t="inlineStr"/>
      <c r="G106" s="8" t="inlineStr">
        <is>
          <t>통과</t>
        </is>
      </c>
      <c r="H106" s="8" t="n">
        <v>0.2</v>
      </c>
    </row>
    <row r="107">
      <c r="A107" s="9" t="n">
        <v>106</v>
      </c>
      <c r="B107" s="9" t="inlineStr">
        <is>
          <t>단위/연동</t>
        </is>
      </c>
      <c r="C107" s="9" t="inlineStr">
        <is>
          <t>미션 타임라인</t>
        </is>
      </c>
      <c r="D107" s="9" t="inlineStr">
        <is>
          <t>MissionTimelineTests</t>
        </is>
      </c>
      <c r="E107" s="9" t="inlineStr">
        <is>
          <t>Snapshot_Longitude_InterpolatesAlongTheShortestPathAcrossTheDateLine</t>
        </is>
      </c>
      <c r="F107" s="9" t="inlineStr"/>
      <c r="G107" s="9" t="inlineStr">
        <is>
          <t>통과</t>
        </is>
      </c>
      <c r="H107" s="9" t="n">
        <v>0.5</v>
      </c>
    </row>
    <row r="108">
      <c r="A108" s="8" t="n">
        <v>107</v>
      </c>
      <c r="B108" s="8" t="inlineStr">
        <is>
          <t>단위/연동</t>
        </is>
      </c>
      <c r="C108" s="8" t="inlineStr">
        <is>
          <t>미션 타임라인</t>
        </is>
      </c>
      <c r="D108" s="8" t="inlineStr">
        <is>
          <t>MissionTimelineTests</t>
        </is>
      </c>
      <c r="E108" s="8" t="inlineStr">
        <is>
          <t>Snapshot_Longitude_NormalInterpolationIsUnchanged</t>
        </is>
      </c>
      <c r="F108" s="8" t="inlineStr"/>
      <c r="G108" s="8" t="inlineStr">
        <is>
          <t>통과</t>
        </is>
      </c>
      <c r="H108" s="8" t="n">
        <v>0.4</v>
      </c>
    </row>
    <row r="109">
      <c r="A109" s="9" t="n">
        <v>108</v>
      </c>
      <c r="B109" s="9" t="inlineStr">
        <is>
          <t>단위/연동</t>
        </is>
      </c>
      <c r="C109" s="9" t="inlineStr">
        <is>
          <t>미션 타임라인</t>
        </is>
      </c>
      <c r="D109" s="9" t="inlineStr">
        <is>
          <t>MissionTimelineTests</t>
        </is>
      </c>
      <c r="E109" s="9" t="inlineStr">
        <is>
          <t>Snapshot_OutOfRangeMet_IsClamped</t>
        </is>
      </c>
      <c r="F109" s="9" t="inlineStr"/>
      <c r="G109" s="9" t="inlineStr">
        <is>
          <t>통과</t>
        </is>
      </c>
      <c r="H109" s="9" t="n">
        <v>0.5</v>
      </c>
    </row>
    <row r="110">
      <c r="A110" s="8" t="n">
        <v>109</v>
      </c>
      <c r="B110" s="8" t="inlineStr">
        <is>
          <t>단위/연동</t>
        </is>
      </c>
      <c r="C110" s="8" t="inlineStr">
        <is>
          <t>미션 타임라인</t>
        </is>
      </c>
      <c r="D110" s="8" t="inlineStr">
        <is>
          <t>MissionTimelineTests</t>
        </is>
      </c>
      <c r="E110" s="8" t="inlineStr">
        <is>
          <t>Snapshot_ProgramNumberFollowsPhase</t>
        </is>
      </c>
      <c r="F110" s="8" t="inlineStr"/>
      <c r="G110" s="8" t="inlineStr">
        <is>
          <t>통과</t>
        </is>
      </c>
      <c r="H110" s="8" t="n">
        <v>0.2</v>
      </c>
    </row>
    <row r="111">
      <c r="A111" s="9" t="n">
        <v>110</v>
      </c>
      <c r="B111" s="9" t="inlineStr">
        <is>
          <t>단위/연동</t>
        </is>
      </c>
      <c r="C111" s="9" t="inlineStr">
        <is>
          <t>미션 타임라인</t>
        </is>
      </c>
      <c r="D111" s="9" t="inlineStr">
        <is>
          <t>MissionTimelineTests</t>
        </is>
      </c>
      <c r="E111" s="9" t="inlineStr">
        <is>
          <t>Snapshot_Range_IsZeroWhenBodyDiffersFromTarget</t>
        </is>
      </c>
      <c r="F111" s="9" t="inlineStr"/>
      <c r="G111" s="9" t="inlineStr">
        <is>
          <t>통과</t>
        </is>
      </c>
      <c r="H111" s="9" t="n">
        <v>0.4</v>
      </c>
    </row>
    <row r="112">
      <c r="A112" s="8" t="n">
        <v>111</v>
      </c>
      <c r="B112" s="8" t="inlineStr">
        <is>
          <t>단위/연동</t>
        </is>
      </c>
      <c r="C112" s="8" t="inlineStr">
        <is>
          <t>미션 타임라인</t>
        </is>
      </c>
      <c r="D112" s="8" t="inlineStr">
        <is>
          <t>MissionTimelineTests</t>
        </is>
      </c>
      <c r="E112" s="8" t="inlineStr">
        <is>
          <t>Snapshot_Range_UsesGreatCircleDistance</t>
        </is>
      </c>
      <c r="F112" s="8" t="inlineStr"/>
      <c r="G112" s="8" t="inlineStr">
        <is>
          <t>통과</t>
        </is>
      </c>
      <c r="H112" s="8" t="n">
        <v>0.5</v>
      </c>
    </row>
    <row r="113">
      <c r="A113" s="9" t="n">
        <v>112</v>
      </c>
      <c r="B113" s="9" t="inlineStr">
        <is>
          <t>단위/연동</t>
        </is>
      </c>
      <c r="C113" s="9" t="inlineStr">
        <is>
          <t>미션 타임라인</t>
        </is>
      </c>
      <c r="D113" s="9" t="inlineStr">
        <is>
          <t>MissionTimelineTests</t>
        </is>
      </c>
      <c r="E113" s="9" t="inlineStr">
        <is>
          <t>Snapshot_SameBody_InterpolatesLinearly</t>
        </is>
      </c>
      <c r="F113" s="9" t="inlineStr"/>
      <c r="G113" s="9" t="inlineStr">
        <is>
          <t>통과</t>
        </is>
      </c>
      <c r="H113" s="9" t="n">
        <v>0.2</v>
      </c>
    </row>
    <row r="114">
      <c r="A114" s="8" t="n">
        <v>113</v>
      </c>
      <c r="B114" s="8" t="inlineStr">
        <is>
          <t>단위/연동</t>
        </is>
      </c>
      <c r="C114" s="8" t="inlineStr">
        <is>
          <t>미션 타임라인</t>
        </is>
      </c>
      <c r="D114" s="8" t="inlineStr">
        <is>
          <t>MissionTimelineTests</t>
        </is>
      </c>
      <c r="E114" s="8" t="inlineStr">
        <is>
          <t>Snapshot_TelemetryCarriesTheVehicleOfTheCurrentKeyframe</t>
        </is>
      </c>
      <c r="F114" s="8" t="inlineStr"/>
      <c r="G114" s="8" t="inlineStr">
        <is>
          <t>통과</t>
        </is>
      </c>
      <c r="H114" s="8" t="n">
        <v>0.4</v>
      </c>
    </row>
    <row r="115">
      <c r="A115" s="9" t="n">
        <v>114</v>
      </c>
      <c r="B115" s="9" t="inlineStr">
        <is>
          <t>단위/연동</t>
        </is>
      </c>
      <c r="C115" s="9" t="inlineStr">
        <is>
          <t>미션 타임라인</t>
        </is>
      </c>
      <c r="D115" s="9" t="inlineStr">
        <is>
          <t>MissionTimelineTests</t>
        </is>
      </c>
      <c r="E115" s="9" t="inlineStr">
        <is>
          <t>Snapshot_TimeToNextPhase_CountsDownToNextKeyframe</t>
        </is>
      </c>
      <c r="F115" s="9" t="inlineStr"/>
      <c r="G115" s="9" t="inlineStr">
        <is>
          <t>통과</t>
        </is>
      </c>
      <c r="H115" s="9" t="n">
        <v>0.2</v>
      </c>
    </row>
    <row r="116">
      <c r="A116" s="8" t="n">
        <v>115</v>
      </c>
      <c r="B116" s="8" t="inlineStr">
        <is>
          <t>단위/연동</t>
        </is>
      </c>
      <c r="C116" s="8" t="inlineStr">
        <is>
          <t>미션 타임라인</t>
        </is>
      </c>
      <c r="D116" s="8" t="inlineStr">
        <is>
          <t>MissionTimelineTests</t>
        </is>
      </c>
      <c r="E116" s="8" t="inlineStr">
        <is>
          <t>Snapshot_WithoutTarget_RangeIsZero</t>
        </is>
      </c>
      <c r="F116" s="8" t="inlineStr"/>
      <c r="G116" s="8" t="inlineStr">
        <is>
          <t>통과</t>
        </is>
      </c>
      <c r="H116" s="8" t="n">
        <v>0.2</v>
      </c>
    </row>
    <row r="117">
      <c r="A117" s="9" t="n">
        <v>116</v>
      </c>
      <c r="B117" s="9" t="inlineStr">
        <is>
          <t>단위/연동</t>
        </is>
      </c>
      <c r="C117" s="9" t="inlineStr">
        <is>
          <t>Apollo 11 데이터</t>
        </is>
      </c>
      <c r="D117" s="9" t="inlineStr">
        <is>
          <t>Apollo11MissionDataTests</t>
        </is>
      </c>
      <c r="E117" s="9" t="inlineStr">
        <is>
          <t>AllKeyframes_HaveNonNegativeAltitudeAndSpeed_AndDescriptions</t>
        </is>
      </c>
      <c r="F117" s="9" t="inlineStr"/>
      <c r="G117" s="9" t="inlineStr">
        <is>
          <t>통과</t>
        </is>
      </c>
      <c r="H117" s="9" t="n">
        <v>6.4</v>
      </c>
    </row>
    <row r="118">
      <c r="A118" s="8" t="n">
        <v>117</v>
      </c>
      <c r="B118" s="8" t="inlineStr">
        <is>
          <t>단위/연동</t>
        </is>
      </c>
      <c r="C118" s="8" t="inlineStr">
        <is>
          <t>Apollo 11 데이터</t>
        </is>
      </c>
      <c r="D118" s="8" t="inlineStr">
        <is>
          <t>Apollo11MissionDataTests</t>
        </is>
      </c>
      <c r="E118" s="8" t="inlineStr">
        <is>
          <t>BrakingPhaseTimeToGo_AtPdiIsEightMinutes27Seconds</t>
        </is>
      </c>
      <c r="F118" s="8" t="inlineStr"/>
      <c r="G118" s="8" t="inlineStr">
        <is>
          <t>통과</t>
        </is>
      </c>
      <c r="H118" s="8" t="n">
        <v>9.300000000000001</v>
      </c>
    </row>
    <row r="119">
      <c r="A119" s="9" t="n">
        <v>118</v>
      </c>
      <c r="B119" s="9" t="inlineStr">
        <is>
          <t>단위/연동</t>
        </is>
      </c>
      <c r="C119" s="9" t="inlineStr">
        <is>
          <t>Apollo 11 데이터</t>
        </is>
      </c>
      <c r="D119" s="9" t="inlineStr">
        <is>
          <t>Apollo11MissionDataTests</t>
        </is>
      </c>
      <c r="E119" s="9" t="inlineStr">
        <is>
          <t>Create_Succeeds_AndStartsWithLaunchProgram11</t>
        </is>
      </c>
      <c r="F119" s="9" t="inlineStr"/>
      <c r="G119" s="9" t="inlineStr">
        <is>
          <t>통과</t>
        </is>
      </c>
      <c r="H119" s="9" t="n">
        <v>9.300000000000001</v>
      </c>
    </row>
    <row r="120">
      <c r="A120" s="8" t="n">
        <v>119</v>
      </c>
      <c r="B120" s="8" t="inlineStr">
        <is>
          <t>단위/연동</t>
        </is>
      </c>
      <c r="C120" s="8" t="inlineStr">
        <is>
          <t>Apollo 11 데이터</t>
        </is>
      </c>
      <c r="D120" s="8" t="inlineStr">
        <is>
          <t>Apollo11MissionDataTests</t>
        </is>
      </c>
      <c r="E120" s="8" t="inlineStr">
        <is>
          <t>DescentAlarms_FallDuringDescentPrograms</t>
        </is>
      </c>
      <c r="F120" s="8" t="inlineStr"/>
      <c r="G120" s="8" t="inlineStr">
        <is>
          <t>통과</t>
        </is>
      </c>
      <c r="H120" s="8" t="n">
        <v>0.8</v>
      </c>
    </row>
    <row r="121">
      <c r="A121" s="9" t="n">
        <v>120</v>
      </c>
      <c r="B121" s="9" t="inlineStr">
        <is>
          <t>단위/연동</t>
        </is>
      </c>
      <c r="C121" s="9" t="inlineStr">
        <is>
          <t>Apollo 11 데이터</t>
        </is>
      </c>
      <c r="D121" s="9" t="inlineStr">
        <is>
          <t>Apollo11MissionDataTests</t>
        </is>
      </c>
      <c r="E121" s="9" t="inlineStr">
        <is>
          <t>DescentNounRequest_IsOnlyUsedOnTheLunarModule</t>
        </is>
      </c>
      <c r="F121" s="9" t="inlineStr"/>
      <c r="G121" s="9" t="inlineStr">
        <is>
          <t>통과</t>
        </is>
      </c>
      <c r="H121" s="9" t="n">
        <v>9.300000000000001</v>
      </c>
    </row>
    <row r="122">
      <c r="A122" s="8" t="n">
        <v>121</v>
      </c>
      <c r="B122" s="8" t="inlineStr">
        <is>
          <t>단위/연동</t>
        </is>
      </c>
      <c r="C122" s="8" t="inlineStr">
        <is>
          <t>Apollo 11 데이터</t>
        </is>
      </c>
      <c r="D122" s="8" t="inlineStr">
        <is>
          <t>Apollo11MissionDataTests</t>
        </is>
      </c>
      <c r="E122" s="8" t="inlineStr">
        <is>
          <t>Descent_AltitudeDecreasesMonotonicallyBetweenPdiAndTouchdown</t>
        </is>
      </c>
      <c r="F122" s="8" t="inlineStr"/>
      <c r="G122" s="8" t="inlineStr">
        <is>
          <t>통과</t>
        </is>
      </c>
      <c r="H122" s="8" t="n">
        <v>9.300000000000001</v>
      </c>
    </row>
    <row r="123">
      <c r="A123" s="9" t="n">
        <v>122</v>
      </c>
      <c r="B123" s="9" t="inlineStr">
        <is>
          <t>단위/연동</t>
        </is>
      </c>
      <c r="C123" s="9" t="inlineStr">
        <is>
          <t>Apollo 11 데이터</t>
        </is>
      </c>
      <c r="D123" s="9" t="inlineStr">
        <is>
          <t>Apollo11MissionDataTests</t>
        </is>
      </c>
      <c r="E123" s="9" t="inlineStr">
        <is>
          <t>DisplayRequests_AreDefinedForLaunchMonitorAndPoweredDescent</t>
        </is>
      </c>
      <c r="F123" s="9" t="inlineStr"/>
      <c r="G123" s="9" t="inlineStr">
        <is>
          <t>통과</t>
        </is>
      </c>
      <c r="H123" s="9" t="n">
        <v>9.300000000000001</v>
      </c>
    </row>
    <row r="124">
      <c r="A124" s="8" t="n">
        <v>123</v>
      </c>
      <c r="B124" s="8" t="inlineStr">
        <is>
          <t>단위/연동</t>
        </is>
      </c>
      <c r="C124" s="8" t="inlineStr">
        <is>
          <t>Apollo 11 데이터</t>
        </is>
      </c>
      <c r="D124" s="8" t="inlineStr">
        <is>
          <t>Apollo11MissionDataTests</t>
        </is>
      </c>
      <c r="E124" s="8" t="inlineStr">
        <is>
          <t>EndsAtSplashdown_195h18m35s_OnEarthAtZeroAltitude</t>
        </is>
      </c>
      <c r="F124" s="8" t="inlineStr"/>
      <c r="G124" s="8" t="inlineStr">
        <is>
          <t>통과</t>
        </is>
      </c>
      <c r="H124" s="8" t="n">
        <v>6.5</v>
      </c>
    </row>
    <row r="125">
      <c r="A125" s="9" t="n">
        <v>124</v>
      </c>
      <c r="B125" s="9" t="inlineStr">
        <is>
          <t>단위/연동</t>
        </is>
      </c>
      <c r="C125" s="9" t="inlineStr">
        <is>
          <t>Apollo 11 데이터</t>
        </is>
      </c>
      <c r="D125" s="9" t="inlineStr">
        <is>
          <t>Apollo11MissionDataTests</t>
        </is>
      </c>
      <c r="E125" s="9" t="inlineStr">
        <is>
          <t>PoweredDescentInitiation_StartsProgram63</t>
        </is>
      </c>
      <c r="F125" s="9" t="inlineStr"/>
      <c r="G125" s="9" t="inlineStr">
        <is>
          <t>통과</t>
        </is>
      </c>
      <c r="H125" s="9" t="n">
        <v>9.199999999999999</v>
      </c>
    </row>
    <row r="126">
      <c r="A126" s="8" t="n">
        <v>125</v>
      </c>
      <c r="B126" s="8" t="inlineStr">
        <is>
          <t>단위/연동</t>
        </is>
      </c>
      <c r="C126" s="8" t="inlineStr">
        <is>
          <t>Apollo 11 데이터</t>
        </is>
      </c>
      <c r="D126" s="8" t="inlineStr">
        <is>
          <t>Apollo11MissionDataTests</t>
        </is>
      </c>
      <c r="E126" s="8" t="inlineStr">
        <is>
          <t>RangeToLandingSite_AtPdiIsAboutTwoHundredFiftyNauticalMiles_AndZeroAtTouchdown</t>
        </is>
      </c>
      <c r="F126" s="8" t="inlineStr"/>
      <c r="G126" s="8" t="inlineStr">
        <is>
          <t>통과</t>
        </is>
      </c>
      <c r="H126" s="8" t="n">
        <v>9.300000000000001</v>
      </c>
    </row>
    <row r="127">
      <c r="A127" s="9" t="n">
        <v>126</v>
      </c>
      <c r="B127" s="9" t="inlineStr">
        <is>
          <t>단위/연동</t>
        </is>
      </c>
      <c r="C127" s="9" t="inlineStr">
        <is>
          <t>Apollo 11 데이터</t>
        </is>
      </c>
      <c r="D127" s="9" t="inlineStr">
        <is>
          <t>Apollo11MissionDataTests</t>
        </is>
      </c>
      <c r="E127" s="9" t="inlineStr">
        <is>
          <t>Touchdown_At102h45m40s_IsProgram68WithZeroAltitudeAndSpeed</t>
        </is>
      </c>
      <c r="F127" s="9" t="inlineStr"/>
      <c r="G127" s="9" t="inlineStr">
        <is>
          <t>통과</t>
        </is>
      </c>
      <c r="H127" s="9" t="n">
        <v>9.300000000000001</v>
      </c>
    </row>
    <row r="128">
      <c r="A128" s="8" t="n">
        <v>127</v>
      </c>
      <c r="B128" s="8" t="inlineStr">
        <is>
          <t>단위/연동</t>
        </is>
      </c>
      <c r="C128" s="8" t="inlineStr">
        <is>
          <t>Apollo 11 데이터</t>
        </is>
      </c>
      <c r="D128" s="8" t="inlineStr">
        <is>
          <t>Apollo11MissionDataTests</t>
        </is>
      </c>
      <c r="E128" s="8" t="inlineStr">
        <is>
          <t>Vehicle_IsCommandModuleExceptBetweenUndockingAndDocking</t>
        </is>
      </c>
      <c r="F128" s="8" t="inlineStr"/>
      <c r="G128" s="8" t="inlineStr">
        <is>
          <t>통과</t>
        </is>
      </c>
      <c r="H128" s="8" t="n">
        <v>9.300000000000001</v>
      </c>
    </row>
    <row r="129">
      <c r="A129" s="9" t="n">
        <v>128</v>
      </c>
      <c r="B129" s="9" t="inlineStr">
        <is>
          <t>단위/연동</t>
        </is>
      </c>
      <c r="C129" s="9" t="inlineStr">
        <is>
          <t>미션 시뮬레이터</t>
        </is>
      </c>
      <c r="D129" s="9" t="inlineStr">
        <is>
          <t>MissionSimulatorTests</t>
        </is>
      </c>
      <c r="E129" s="9" t="inlineStr">
        <is>
          <t>Advance_AcrossSeveralAlarms_RaisesAllInOrder</t>
        </is>
      </c>
      <c r="F129" s="9" t="inlineStr"/>
      <c r="G129" s="9" t="inlineStr">
        <is>
          <t>통과</t>
        </is>
      </c>
      <c r="H129" s="9" t="n">
        <v>5.1</v>
      </c>
    </row>
    <row r="130">
      <c r="A130" s="8" t="n">
        <v>129</v>
      </c>
      <c r="B130" s="8" t="inlineStr">
        <is>
          <t>단위/연동</t>
        </is>
      </c>
      <c r="C130" s="8" t="inlineStr">
        <is>
          <t>미션 시뮬레이터</t>
        </is>
      </c>
      <c r="D130" s="8" t="inlineStr">
        <is>
          <t>MissionSimulatorTests</t>
        </is>
      </c>
      <c r="E130" s="8" t="inlineStr">
        <is>
          <t>Advance_AppliesSpeedMultiplier</t>
        </is>
      </c>
      <c r="F130" s="8" t="inlineStr"/>
      <c r="G130" s="8" t="inlineStr">
        <is>
          <t>통과</t>
        </is>
      </c>
      <c r="H130" s="8" t="n">
        <v>3.9</v>
      </c>
    </row>
    <row r="131">
      <c r="A131" s="9" t="n">
        <v>130</v>
      </c>
      <c r="B131" s="9" t="inlineStr">
        <is>
          <t>단위/연동</t>
        </is>
      </c>
      <c r="C131" s="9" t="inlineStr">
        <is>
          <t>미션 시뮬레이터</t>
        </is>
      </c>
      <c r="D131" s="9" t="inlineStr">
        <is>
          <t>MissionSimulatorTests</t>
        </is>
      </c>
      <c r="E131" s="9" t="inlineStr">
        <is>
          <t>Advance_CrossingAlarm_RaisesItExactlyOnce</t>
        </is>
      </c>
      <c r="F131" s="9" t="inlineStr"/>
      <c r="G131" s="9" t="inlineStr">
        <is>
          <t>통과</t>
        </is>
      </c>
      <c r="H131" s="9" t="n">
        <v>5.1</v>
      </c>
    </row>
    <row r="132">
      <c r="A132" s="8" t="n">
        <v>131</v>
      </c>
      <c r="B132" s="8" t="inlineStr">
        <is>
          <t>단위/연동</t>
        </is>
      </c>
      <c r="C132" s="8" t="inlineStr">
        <is>
          <t>미션 시뮬레이터</t>
        </is>
      </c>
      <c r="D132" s="8" t="inlineStr">
        <is>
          <t>MissionSimulatorTests</t>
        </is>
      </c>
      <c r="E132" s="8" t="inlineStr">
        <is>
          <t>Advance_PastEnd_ClampsAndStops</t>
        </is>
      </c>
      <c r="F132" s="8" t="inlineStr"/>
      <c r="G132" s="8" t="inlineStr">
        <is>
          <t>통과</t>
        </is>
      </c>
      <c r="H132" s="8" t="n">
        <v>7.4</v>
      </c>
    </row>
    <row r="133">
      <c r="A133" s="9" t="n">
        <v>132</v>
      </c>
      <c r="B133" s="9" t="inlineStr">
        <is>
          <t>단위/연동</t>
        </is>
      </c>
      <c r="C133" s="9" t="inlineStr">
        <is>
          <t>미션 시뮬레이터</t>
        </is>
      </c>
      <c r="D133" s="9" t="inlineStr">
        <is>
          <t>MissionSimulatorTests</t>
        </is>
      </c>
      <c r="E133" s="9" t="inlineStr">
        <is>
          <t>Advance_WhenPaused_DoesNothing</t>
        </is>
      </c>
      <c r="F133" s="9" t="inlineStr"/>
      <c r="G133" s="9" t="inlineStr">
        <is>
          <t>통과</t>
        </is>
      </c>
      <c r="H133" s="9" t="n">
        <v>3.6</v>
      </c>
    </row>
    <row r="134">
      <c r="A134" s="8" t="n">
        <v>133</v>
      </c>
      <c r="B134" s="8" t="inlineStr">
        <is>
          <t>단위/연동</t>
        </is>
      </c>
      <c r="C134" s="8" t="inlineStr">
        <is>
          <t>미션 시뮬레이터</t>
        </is>
      </c>
      <c r="D134" s="8" t="inlineStr">
        <is>
          <t>MissionSimulatorTests</t>
        </is>
      </c>
      <c r="E134" s="8" t="inlineStr">
        <is>
          <t>AlarmHandler_SeesTheMissionTimeAfterTheStep</t>
        </is>
      </c>
      <c r="F134" s="8" t="inlineStr"/>
      <c r="G134" s="8" t="inlineStr">
        <is>
          <t>통과</t>
        </is>
      </c>
      <c r="H134" s="8" t="n">
        <v>4</v>
      </c>
    </row>
    <row r="135">
      <c r="A135" s="9" t="n">
        <v>134</v>
      </c>
      <c r="B135" s="9" t="inlineStr">
        <is>
          <t>단위/연동</t>
        </is>
      </c>
      <c r="C135" s="9" t="inlineStr">
        <is>
          <t>미션 시뮬레이터</t>
        </is>
      </c>
      <c r="D135" s="9" t="inlineStr">
        <is>
          <t>MissionSimulatorTests</t>
        </is>
      </c>
      <c r="E135" s="9" t="inlineStr">
        <is>
          <t>Current_TracksSnapshotTelemetry</t>
        </is>
      </c>
      <c r="F135" s="9" t="inlineStr"/>
      <c r="G135" s="9" t="inlineStr">
        <is>
          <t>통과</t>
        </is>
      </c>
      <c r="H135" s="9" t="n">
        <v>2</v>
      </c>
    </row>
    <row r="136">
      <c r="A136" s="8" t="n">
        <v>135</v>
      </c>
      <c r="B136" s="8" t="inlineStr">
        <is>
          <t>단위/연동</t>
        </is>
      </c>
      <c r="C136" s="8" t="inlineStr">
        <is>
          <t>미션 시뮬레이터</t>
        </is>
      </c>
      <c r="D136" s="8" t="inlineStr">
        <is>
          <t>MissionSimulatorTests</t>
        </is>
      </c>
      <c r="E136" s="8" t="inlineStr">
        <is>
          <t>PhaseChange_IsLogged</t>
        </is>
      </c>
      <c r="F136" s="8" t="inlineStr"/>
      <c r="G136" s="8" t="inlineStr">
        <is>
          <t>통과</t>
        </is>
      </c>
      <c r="H136" s="8" t="n">
        <v>0.7</v>
      </c>
    </row>
    <row r="137">
      <c r="A137" s="9" t="n">
        <v>136</v>
      </c>
      <c r="B137" s="9" t="inlineStr">
        <is>
          <t>단위/연동</t>
        </is>
      </c>
      <c r="C137" s="9" t="inlineStr">
        <is>
          <t>미션 시뮬레이터</t>
        </is>
      </c>
      <c r="D137" s="9" t="inlineStr">
        <is>
          <t>MissionSimulatorTests</t>
        </is>
      </c>
      <c r="E137" s="9" t="inlineStr">
        <is>
          <t>PhaseChanged_RaisedOnlyWhenCrossingKeyframe</t>
        </is>
      </c>
      <c r="F137" s="9" t="inlineStr"/>
      <c r="G137" s="9" t="inlineStr">
        <is>
          <t>통과</t>
        </is>
      </c>
      <c r="H137" s="9" t="n">
        <v>3</v>
      </c>
    </row>
    <row r="138">
      <c r="A138" s="8" t="n">
        <v>137</v>
      </c>
      <c r="B138" s="8" t="inlineStr">
        <is>
          <t>단위/연동</t>
        </is>
      </c>
      <c r="C138" s="8" t="inlineStr">
        <is>
          <t>미션 시뮬레이터</t>
        </is>
      </c>
      <c r="D138" s="8" t="inlineStr">
        <is>
          <t>MissionSimulatorTests</t>
        </is>
      </c>
      <c r="E138" s="8" t="inlineStr">
        <is>
          <t>RequestedProgram_IsReplacedWhenMissionEntersNextPhase</t>
        </is>
      </c>
      <c r="F138" s="8" t="inlineStr"/>
      <c r="G138" s="8" t="inlineStr">
        <is>
          <t>통과</t>
        </is>
      </c>
      <c r="H138" s="8" t="n">
        <v>1.7</v>
      </c>
    </row>
    <row r="139">
      <c r="A139" s="9" t="n">
        <v>138</v>
      </c>
      <c r="B139" s="9" t="inlineStr">
        <is>
          <t>단위/연동</t>
        </is>
      </c>
      <c r="C139" s="9" t="inlineStr">
        <is>
          <t>미션 시뮬레이터</t>
        </is>
      </c>
      <c r="D139" s="9" t="inlineStr">
        <is>
          <t>MissionSimulatorTests</t>
        </is>
      </c>
      <c r="E139" s="9" t="inlineStr">
        <is>
          <t>RequestedProgram_StaysWhileInsideSamePhase</t>
        </is>
      </c>
      <c r="F139" s="9" t="inlineStr"/>
      <c r="G139" s="9" t="inlineStr">
        <is>
          <t>통과</t>
        </is>
      </c>
      <c r="H139" s="9" t="n">
        <v>0.4</v>
      </c>
    </row>
    <row r="140">
      <c r="A140" s="8" t="n">
        <v>139</v>
      </c>
      <c r="B140" s="8" t="inlineStr">
        <is>
          <t>단위/연동</t>
        </is>
      </c>
      <c r="C140" s="8" t="inlineStr">
        <is>
          <t>미션 시뮬레이터</t>
        </is>
      </c>
      <c r="D140" s="8" t="inlineStr">
        <is>
          <t>MissionSimulatorTests</t>
        </is>
      </c>
      <c r="E140" s="8" t="inlineStr">
        <is>
          <t>Seek_ClampsToTimelineRange</t>
        </is>
      </c>
      <c r="F140" s="8" t="inlineStr"/>
      <c r="G140" s="8" t="inlineStr">
        <is>
          <t>통과</t>
        </is>
      </c>
      <c r="H140" s="8" t="n">
        <v>3.2</v>
      </c>
    </row>
    <row r="141">
      <c r="A141" s="9" t="n">
        <v>140</v>
      </c>
      <c r="B141" s="9" t="inlineStr">
        <is>
          <t>단위/연동</t>
        </is>
      </c>
      <c r="C141" s="9" t="inlineStr">
        <is>
          <t>미션 시뮬레이터</t>
        </is>
      </c>
      <c r="D141" s="9" t="inlineStr">
        <is>
          <t>MissionSimulatorTests</t>
        </is>
      </c>
      <c r="E141" s="9" t="inlineStr">
        <is>
          <t>Seek_PastAlarms_DoesNotRaiseThem</t>
        </is>
      </c>
      <c r="F141" s="9" t="inlineStr"/>
      <c r="G141" s="9" t="inlineStr">
        <is>
          <t>통과</t>
        </is>
      </c>
      <c r="H141" s="9" t="n">
        <v>3</v>
      </c>
    </row>
    <row r="142">
      <c r="A142" s="8" t="n">
        <v>141</v>
      </c>
      <c r="B142" s="8" t="inlineStr">
        <is>
          <t>단위/연동</t>
        </is>
      </c>
      <c r="C142" s="8" t="inlineStr">
        <is>
          <t>미션 시뮬레이터</t>
        </is>
      </c>
      <c r="D142" s="8" t="inlineStr">
        <is>
          <t>MissionSimulatorTests</t>
        </is>
      </c>
      <c r="E142" s="8" t="inlineStr">
        <is>
          <t>TryRequestProgram_KnownProgram_OverridesCurrentProgramNumber</t>
        </is>
      </c>
      <c r="F142" s="8" t="inlineStr"/>
      <c r="G142" s="8" t="inlineStr">
        <is>
          <t>통과</t>
        </is>
      </c>
      <c r="H142" s="8" t="n">
        <v>2.2</v>
      </c>
    </row>
    <row r="143">
      <c r="A143" s="9" t="n">
        <v>142</v>
      </c>
      <c r="B143" s="9" t="inlineStr">
        <is>
          <t>단위/연동</t>
        </is>
      </c>
      <c r="C143" s="9" t="inlineStr">
        <is>
          <t>미션 시뮬레이터</t>
        </is>
      </c>
      <c r="D143" s="9" t="inlineStr">
        <is>
          <t>MissionSimulatorTests</t>
        </is>
      </c>
      <c r="E143" s="9" t="inlineStr">
        <is>
          <t>TryRequestProgram_P00IsAlwaysAllowed_UnknownProgramRejected</t>
        </is>
      </c>
      <c r="F143" s="9" t="inlineStr"/>
      <c r="G143" s="9" t="inlineStr">
        <is>
          <t>통과</t>
        </is>
      </c>
      <c r="H143" s="9" t="n">
        <v>0.7</v>
      </c>
    </row>
    <row r="144">
      <c r="A144" s="8" t="n">
        <v>143</v>
      </c>
      <c r="B144" s="8" t="inlineStr">
        <is>
          <t>단위/연동</t>
        </is>
      </c>
      <c r="C144" s="8" t="inlineStr">
        <is>
          <t>미션↔DSKY 연동</t>
        </is>
      </c>
      <c r="D144" s="8" t="inlineStr">
        <is>
          <t>AgcMissionIntegrationTests</t>
        </is>
      </c>
      <c r="E144" s="8" t="inlineStr">
        <is>
          <t>DescentAlarm_LightsProgLampAndIsReadableViaV05N09</t>
        </is>
      </c>
      <c r="F144" s="8" t="inlineStr"/>
      <c r="G144" s="8" t="inlineStr">
        <is>
          <t>통과</t>
        </is>
      </c>
      <c r="H144" s="8" t="n">
        <v>0.9</v>
      </c>
    </row>
    <row r="145">
      <c r="A145" s="9" t="n">
        <v>144</v>
      </c>
      <c r="B145" s="9" t="inlineStr">
        <is>
          <t>단위/연동</t>
        </is>
      </c>
      <c r="C145" s="9" t="inlineStr">
        <is>
          <t>미션↔DSKY 연동</t>
        </is>
      </c>
      <c r="D145" s="9" t="inlineStr">
        <is>
          <t>AgcMissionIntegrationTests</t>
        </is>
      </c>
      <c r="E145" s="9" t="inlineStr">
        <is>
          <t>MonitorNoun36_ShowsMissionElapsedTime</t>
        </is>
      </c>
      <c r="F145" s="9" t="inlineStr"/>
      <c r="G145" s="9" t="inlineStr">
        <is>
          <t>통과</t>
        </is>
      </c>
      <c r="H145" s="9" t="n">
        <v>2.4</v>
      </c>
    </row>
    <row r="146">
      <c r="A146" s="8" t="n">
        <v>145</v>
      </c>
      <c r="B146" s="8" t="inlineStr">
        <is>
          <t>단위/연동</t>
        </is>
      </c>
      <c r="C146" s="8" t="inlineStr">
        <is>
          <t>미션↔DSKY 연동</t>
        </is>
      </c>
      <c r="D146" s="8" t="inlineStr">
        <is>
          <t>AgcMissionIntegrationTests</t>
        </is>
      </c>
      <c r="E146" s="8" t="inlineStr">
        <is>
          <t>MonitorNoun63_TracksDescentWhileSimulationRuns</t>
        </is>
      </c>
      <c r="F146" s="8" t="inlineStr"/>
      <c r="G146" s="8" t="inlineStr">
        <is>
          <t>통과</t>
        </is>
      </c>
      <c r="H146" s="8" t="n">
        <v>3</v>
      </c>
    </row>
    <row r="147">
      <c r="A147" s="9" t="n">
        <v>146</v>
      </c>
      <c r="B147" s="9" t="inlineStr">
        <is>
          <t>단위/연동</t>
        </is>
      </c>
      <c r="C147" s="9" t="inlineStr">
        <is>
          <t>미션↔DSKY 연동</t>
        </is>
      </c>
      <c r="D147" s="9" t="inlineStr">
        <is>
          <t>AgcMissionIntegrationTests</t>
        </is>
      </c>
      <c r="E147" s="9" t="inlineStr">
        <is>
          <t>MonitorNoun68_ShowsRangeToTranquilityAndBrakingTimeAtPdi</t>
        </is>
      </c>
      <c r="F147" s="9" t="inlineStr"/>
      <c r="G147" s="9" t="inlineStr">
        <is>
          <t>통과</t>
        </is>
      </c>
      <c r="H147" s="9" t="n">
        <v>2.6</v>
      </c>
    </row>
    <row r="148">
      <c r="A148" s="8" t="n">
        <v>147</v>
      </c>
      <c r="B148" s="8" t="inlineStr">
        <is>
          <t>단위/연동</t>
        </is>
      </c>
      <c r="C148" s="8" t="inlineStr">
        <is>
          <t>미션↔DSKY 연동</t>
        </is>
      </c>
      <c r="D148" s="8" t="inlineStr">
        <is>
          <t>AgcMissionIntegrationTests</t>
        </is>
      </c>
      <c r="E148" s="8" t="inlineStr">
        <is>
          <t>ProgWindow_FollowsMissionPhase</t>
        </is>
      </c>
      <c r="F148" s="8" t="inlineStr"/>
      <c r="G148" s="8" t="inlineStr">
        <is>
          <t>통과</t>
        </is>
      </c>
      <c r="H148" s="8" t="n">
        <v>0.9</v>
      </c>
    </row>
    <row r="149">
      <c r="A149" s="9" t="n">
        <v>148</v>
      </c>
      <c r="B149" s="9" t="inlineStr">
        <is>
          <t>단위/연동</t>
        </is>
      </c>
      <c r="C149" s="9" t="inlineStr">
        <is>
          <t>미션↔DSKY 연동</t>
        </is>
      </c>
      <c r="D149" s="9" t="inlineStr">
        <is>
          <t>AgcMissionIntegrationTests</t>
        </is>
      </c>
      <c r="E149" s="9" t="inlineStr">
        <is>
          <t>V37E_ChangesProgWindow_UntilNextMissionPhase</t>
        </is>
      </c>
      <c r="F149" s="9" t="inlineStr"/>
      <c r="G149" s="9" t="inlineStr">
        <is>
          <t>통과</t>
        </is>
      </c>
      <c r="H149" s="9" t="n">
        <v>0.7</v>
      </c>
    </row>
    <row r="150">
      <c r="A150" s="8" t="n">
        <v>149</v>
      </c>
      <c r="B150" s="8" t="inlineStr">
        <is>
          <t>단위/연동</t>
        </is>
      </c>
      <c r="C150" s="8" t="inlineStr">
        <is>
          <t>미션↔DSKY 연동</t>
        </is>
      </c>
      <c r="D150" s="8" t="inlineStr">
        <is>
          <t>AgcMissionIntegrationTests</t>
        </is>
      </c>
      <c r="E150" s="8" t="inlineStr">
        <is>
          <t>V37E_UnknownProgram_LightsOprErrAndKeepsProg</t>
        </is>
      </c>
      <c r="F150" s="8" t="inlineStr"/>
      <c r="G150" s="8" t="inlineStr">
        <is>
          <t>통과</t>
        </is>
      </c>
      <c r="H150" s="8" t="n">
        <v>0.3</v>
      </c>
    </row>
    <row r="151">
      <c r="A151" s="9" t="n">
        <v>150</v>
      </c>
      <c r="B151" s="9" t="inlineStr">
        <is>
          <t>단위/연동</t>
        </is>
      </c>
      <c r="C151" s="9" t="inlineStr">
        <is>
          <t>미션↔DSKY 연결(자동 표시)</t>
        </is>
      </c>
      <c r="D151" s="9" t="inlineStr">
        <is>
          <t>AgcMissionLinkTests</t>
        </is>
      </c>
      <c r="E151" s="9" t="inlineStr">
        <is>
          <t>Alarms_AreStillForwardedToTheDsky</t>
        </is>
      </c>
      <c r="F151" s="9" t="inlineStr"/>
      <c r="G151" s="9" t="inlineStr">
        <is>
          <t>통과</t>
        </is>
      </c>
      <c r="H151" s="9" t="n">
        <v>0.3</v>
      </c>
    </row>
    <row r="152">
      <c r="A152" s="8" t="n">
        <v>151</v>
      </c>
      <c r="B152" s="8" t="inlineStr">
        <is>
          <t>단위/연동</t>
        </is>
      </c>
      <c r="C152" s="8" t="inlineStr">
        <is>
          <t>미션↔DSKY 연결(자동 표시)</t>
        </is>
      </c>
      <c r="D152" s="8" t="inlineStr">
        <is>
          <t>AgcMissionLinkTests</t>
        </is>
      </c>
      <c r="E152" s="8" t="inlineStr">
        <is>
          <t>AtLiftoff_P11ShowsVelocityMonitorOnTheCommandModuleDsky</t>
        </is>
      </c>
      <c r="F152" s="8" t="inlineStr"/>
      <c r="G152" s="8" t="inlineStr">
        <is>
          <t>통과</t>
        </is>
      </c>
      <c r="H152" s="8" t="n">
        <v>1.7</v>
      </c>
    </row>
    <row r="153">
      <c r="A153" s="9" t="n">
        <v>152</v>
      </c>
      <c r="B153" s="9" t="inlineStr">
        <is>
          <t>단위/연동</t>
        </is>
      </c>
      <c r="C153" s="9" t="inlineStr">
        <is>
          <t>미션↔DSKY 연결(자동 표시)</t>
        </is>
      </c>
      <c r="D153" s="9" t="inlineStr">
        <is>
          <t>AgcMissionLinkTests</t>
        </is>
      </c>
      <c r="E153" s="9" t="inlineStr">
        <is>
          <t>CrossingIgnition_WhileCrewIsTyping_LightsKeyRelUntilReleased</t>
        </is>
      </c>
      <c r="F153" s="9" t="inlineStr"/>
      <c r="G153" s="9" t="inlineStr">
        <is>
          <t>통과</t>
        </is>
      </c>
      <c r="H153" s="9" t="n">
        <v>0.4</v>
      </c>
    </row>
    <row r="154">
      <c r="A154" s="8" t="n">
        <v>153</v>
      </c>
      <c r="B154" s="8" t="inlineStr">
        <is>
          <t>단위/연동</t>
        </is>
      </c>
      <c r="C154" s="8" t="inlineStr">
        <is>
          <t>미션↔DSKY 연결(자동 표시)</t>
        </is>
      </c>
      <c r="D154" s="8" t="inlineStr">
        <is>
          <t>AgcMissionLinkTests</t>
        </is>
      </c>
      <c r="E154" s="8" t="inlineStr">
        <is>
          <t>CrossingIgnition_WhilePlaying_ShowsN63WhenCrewIsIdle</t>
        </is>
      </c>
      <c r="F154" s="8" t="inlineStr"/>
      <c r="G154" s="8" t="inlineStr">
        <is>
          <t>통과</t>
        </is>
      </c>
      <c r="H154" s="8" t="n">
        <v>0.3</v>
      </c>
    </row>
    <row r="155">
      <c r="A155" s="9" t="n">
        <v>154</v>
      </c>
      <c r="B155" s="9" t="inlineStr">
        <is>
          <t>단위/연동</t>
        </is>
      </c>
      <c r="C155" s="9" t="inlineStr">
        <is>
          <t>미션↔DSKY 연결(자동 표시)</t>
        </is>
      </c>
      <c r="D155" s="9" t="inlineStr">
        <is>
          <t>AgcMissionLinkTests</t>
        </is>
      </c>
      <c r="E155" s="9" t="inlineStr">
        <is>
          <t>LaunchMonitor_FollowsAscentWhileMissionRuns</t>
        </is>
      </c>
      <c r="F155" s="9" t="inlineStr"/>
      <c r="G155" s="9" t="inlineStr">
        <is>
          <t>통과</t>
        </is>
      </c>
      <c r="H155" s="9" t="n">
        <v>1.4</v>
      </c>
    </row>
    <row r="156">
      <c r="A156" s="8" t="n">
        <v>155</v>
      </c>
      <c r="B156" s="8" t="inlineStr">
        <is>
          <t>단위/연동</t>
        </is>
      </c>
      <c r="C156" s="8" t="inlineStr">
        <is>
          <t>미션↔DSKY 연결(자동 표시)</t>
        </is>
      </c>
      <c r="D156" s="8" t="inlineStr">
        <is>
          <t>AgcMissionLinkTests</t>
        </is>
      </c>
      <c r="E156" s="8" t="inlineStr">
        <is>
          <t>RequestIsAppliedOnlyWhenEnteringThePhase_NotOnSeekWithinIt</t>
        </is>
      </c>
      <c r="F156" s="8" t="inlineStr"/>
      <c r="G156" s="8" t="inlineStr">
        <is>
          <t>통과</t>
        </is>
      </c>
      <c r="H156" s="8" t="n">
        <v>0.9</v>
      </c>
    </row>
    <row r="157">
      <c r="A157" s="9" t="n">
        <v>156</v>
      </c>
      <c r="B157" s="9" t="inlineStr">
        <is>
          <t>단위/연동</t>
        </is>
      </c>
      <c r="C157" s="9" t="inlineStr">
        <is>
          <t>미션↔DSKY 연결(자동 표시)</t>
        </is>
      </c>
      <c r="D157" s="9" t="inlineStr">
        <is>
          <t>AgcMissionLinkTests</t>
        </is>
      </c>
      <c r="E157" s="9" t="inlineStr">
        <is>
          <t>ReturningToLowerVehicle_CommandModuleNounsAreUsedAgain</t>
        </is>
      </c>
      <c r="F157" s="9" t="inlineStr"/>
      <c r="G157" s="9" t="inlineStr">
        <is>
          <t>통과</t>
        </is>
      </c>
      <c r="H157" s="9" t="n">
        <v>0.3</v>
      </c>
    </row>
    <row r="158">
      <c r="A158" s="8" t="n">
        <v>157</v>
      </c>
      <c r="B158" s="8" t="inlineStr">
        <is>
          <t>단위/연동</t>
        </is>
      </c>
      <c r="C158" s="8" t="inlineStr">
        <is>
          <t>미션↔DSKY 연결(자동 표시)</t>
        </is>
      </c>
      <c r="D158" s="8" t="inlineStr">
        <is>
          <t>AgcMissionLinkTests</t>
        </is>
      </c>
      <c r="E158" s="8" t="inlineStr">
        <is>
          <t>SeekToPowerDescent_ShowsN63MonitorOnTheLunarModuleDsky</t>
        </is>
      </c>
      <c r="F158" s="8" t="inlineStr"/>
      <c r="G158" s="8" t="inlineStr">
        <is>
          <t>통과</t>
        </is>
      </c>
      <c r="H158" s="8" t="n">
        <v>1.1</v>
      </c>
    </row>
    <row r="159">
      <c r="A159" s="9" t="n">
        <v>158</v>
      </c>
      <c r="B159" s="9" t="inlineStr">
        <is>
          <t>UI</t>
        </is>
      </c>
      <c r="C159" s="9" t="inlineStr">
        <is>
          <t>DSKY 화면 컨트롤</t>
        </is>
      </c>
      <c r="D159" s="9" t="inlineStr">
        <is>
          <t>DskyPanelUiTests</t>
        </is>
      </c>
      <c r="E159" s="9" t="inlineStr">
        <is>
          <t>Flash_StopsAndStaysVisibleWhenFlashingEnds</t>
        </is>
      </c>
      <c r="F159" s="9" t="inlineStr">
        <is>
          <t>UI-P07</t>
        </is>
      </c>
      <c r="G159" s="9" t="inlineStr">
        <is>
          <t>통과</t>
        </is>
      </c>
      <c r="H159" s="9" t="n">
        <v>5</v>
      </c>
    </row>
    <row r="160">
      <c r="A160" s="8" t="n">
        <v>159</v>
      </c>
      <c r="B160" s="8" t="inlineStr">
        <is>
          <t>UI</t>
        </is>
      </c>
      <c r="C160" s="8" t="inlineStr">
        <is>
          <t>DSKY 화면 컨트롤</t>
        </is>
      </c>
      <c r="D160" s="8" t="inlineStr">
        <is>
          <t>DskyPanelUiTests</t>
        </is>
      </c>
      <c r="E160" s="8" t="inlineStr">
        <is>
          <t>Flash_VerbAndNounBlinkOnlyWhenDisplayRequestsIt</t>
        </is>
      </c>
      <c r="F160" s="8" t="inlineStr">
        <is>
          <t>UI-P06</t>
        </is>
      </c>
      <c r="G160" s="8" t="inlineStr">
        <is>
          <t>통과</t>
        </is>
      </c>
      <c r="H160" s="8" t="n">
        <v>5.3</v>
      </c>
    </row>
    <row r="161">
      <c r="A161" s="9" t="n">
        <v>160</v>
      </c>
      <c r="B161" s="9" t="inlineStr">
        <is>
          <t>UI</t>
        </is>
      </c>
      <c r="C161" s="9" t="inlineStr">
        <is>
          <t>DSKY 화면 컨트롤</t>
        </is>
      </c>
      <c r="D161" s="9" t="inlineStr">
        <is>
          <t>DskyPanelUiTests</t>
        </is>
      </c>
      <c r="E161" s="9" t="inlineStr">
        <is>
          <t>Layout_DisplayPanel_HasFiveLinesInRealOrder</t>
        </is>
      </c>
      <c r="F161" s="9" t="inlineStr">
        <is>
          <t>UI-P09</t>
        </is>
      </c>
      <c r="G161" s="9" t="inlineStr">
        <is>
          <t>통과</t>
        </is>
      </c>
      <c r="H161" s="9" t="n">
        <v>5.3</v>
      </c>
    </row>
    <row r="162">
      <c r="A162" s="8" t="n">
        <v>161</v>
      </c>
      <c r="B162" s="8" t="inlineStr">
        <is>
          <t>UI</t>
        </is>
      </c>
      <c r="C162" s="8" t="inlineStr">
        <is>
          <t>DSKY 화면 컨트롤</t>
        </is>
      </c>
      <c r="D162" s="8" t="inlineStr">
        <is>
          <t>DskyPanelUiTests</t>
        </is>
      </c>
      <c r="E162" s="8" t="inlineStr">
        <is>
          <t>Layout_Keypad_HasNineteenKeysInSevenColumnsWithHalfRowOffsets</t>
        </is>
      </c>
      <c r="F162" s="8" t="inlineStr">
        <is>
          <t>UI-P10</t>
        </is>
      </c>
      <c r="G162" s="8" t="inlineStr">
        <is>
          <t>통과</t>
        </is>
      </c>
      <c r="H162" s="8" t="n">
        <v>9</v>
      </c>
    </row>
    <row r="163">
      <c r="A163" s="9" t="n">
        <v>162</v>
      </c>
      <c r="B163" s="9" t="inlineStr">
        <is>
          <t>UI</t>
        </is>
      </c>
      <c r="C163" s="9" t="inlineStr">
        <is>
          <t>DSKY 화면 컨트롤</t>
        </is>
      </c>
      <c r="D163" s="9" t="inlineStr">
        <is>
          <t>DskyPanelUiTests</t>
        </is>
      </c>
      <c r="E163" s="9" t="inlineStr">
        <is>
          <t>Layout_Keys_AreSquareWithinTheirCells</t>
        </is>
      </c>
      <c r="F163" s="9" t="inlineStr">
        <is>
          <t>UI-P11</t>
        </is>
      </c>
      <c r="G163" s="9" t="inlineStr">
        <is>
          <t>통과</t>
        </is>
      </c>
      <c r="H163" s="9" t="n">
        <v>5.1</v>
      </c>
    </row>
    <row r="164">
      <c r="A164" s="8" t="n">
        <v>163</v>
      </c>
      <c r="B164" s="8" t="inlineStr">
        <is>
          <t>UI</t>
        </is>
      </c>
      <c r="C164" s="8" t="inlineStr">
        <is>
          <t>DSKY 화면 컨트롤</t>
        </is>
      </c>
      <c r="D164" s="8" t="inlineStr">
        <is>
          <t>DskyPanelUiTests</t>
        </is>
      </c>
      <c r="E164" s="8" t="inlineStr">
        <is>
          <t>Layout_LampPanel_HasRealTwoByFourteenOrder</t>
        </is>
      </c>
      <c r="F164" s="8" t="inlineStr">
        <is>
          <t>UI-P08</t>
        </is>
      </c>
      <c r="G164" s="8" t="inlineStr">
        <is>
          <t>통과</t>
        </is>
      </c>
      <c r="H164" s="8" t="n">
        <v>5.7</v>
      </c>
    </row>
    <row r="165">
      <c r="A165" s="9" t="n">
        <v>164</v>
      </c>
      <c r="B165" s="9" t="inlineStr">
        <is>
          <t>UI</t>
        </is>
      </c>
      <c r="C165" s="9" t="inlineStr">
        <is>
          <t>DSKY 화면 컨트롤</t>
        </is>
      </c>
      <c r="D165" s="9" t="inlineStr">
        <is>
          <t>DskyPanelUiTests</t>
        </is>
      </c>
      <c r="E165" s="9" t="inlineStr">
        <is>
          <t>Panel_Display_UpdatesAllSegmentWindows</t>
        </is>
      </c>
      <c r="F165" s="9" t="inlineStr">
        <is>
          <t>UI-P04</t>
        </is>
      </c>
      <c r="G165" s="9" t="inlineStr">
        <is>
          <t>통과</t>
        </is>
      </c>
      <c r="H165" s="9" t="n">
        <v>45.1</v>
      </c>
    </row>
    <row r="166">
      <c r="A166" s="8" t="n">
        <v>165</v>
      </c>
      <c r="B166" s="8" t="inlineStr">
        <is>
          <t>UI</t>
        </is>
      </c>
      <c r="C166" s="8" t="inlineStr">
        <is>
          <t>DSKY 화면 컨트롤</t>
        </is>
      </c>
      <c r="D166" s="8" t="inlineStr">
        <is>
          <t>DskyPanelUiTests</t>
        </is>
      </c>
      <c r="E166" s="8" t="inlineStr">
        <is>
          <t>Panel_FullDisplay_LitSegmentsAppearOnlyWhereValuesAreShown</t>
        </is>
      </c>
      <c r="F166" s="8" t="inlineStr">
        <is>
          <t>UI-P14</t>
        </is>
      </c>
      <c r="G166" s="8" t="inlineStr">
        <is>
          <t>통과</t>
        </is>
      </c>
      <c r="H166" s="8" t="n">
        <v>23.7</v>
      </c>
    </row>
    <row r="167">
      <c r="A167" s="9" t="n">
        <v>166</v>
      </c>
      <c r="B167" s="9" t="inlineStr">
        <is>
          <t>UI</t>
        </is>
      </c>
      <c r="C167" s="9" t="inlineStr">
        <is>
          <t>DSKY 화면 컨트롤</t>
        </is>
      </c>
      <c r="D167" s="9" t="inlineStr">
        <is>
          <t>DskyPanelUiTests</t>
        </is>
      </c>
      <c r="E167" s="9" t="inlineStr">
        <is>
          <t>Panel_Keypad_ButtonsDoNotStealKeyboardFocus</t>
        </is>
      </c>
      <c r="F167" s="9" t="inlineStr">
        <is>
          <t>UI-P13</t>
        </is>
      </c>
      <c r="G167" s="9" t="inlineStr">
        <is>
          <t>통과</t>
        </is>
      </c>
      <c r="H167" s="9" t="n">
        <v>4.9</v>
      </c>
    </row>
    <row r="168">
      <c r="A168" s="8" t="n">
        <v>167</v>
      </c>
      <c r="B168" s="8" t="inlineStr">
        <is>
          <t>UI</t>
        </is>
      </c>
      <c r="C168" s="8" t="inlineStr">
        <is>
          <t>DSKY 화면 컨트롤</t>
        </is>
      </c>
      <c r="D168" s="8" t="inlineStr">
        <is>
          <t>DskyPanelUiTests</t>
        </is>
      </c>
      <c r="E168" s="8" t="inlineStr">
        <is>
          <t>Panel_Keypad_EveryButtonRaisesItsKey</t>
        </is>
      </c>
      <c r="F168" s="8" t="inlineStr">
        <is>
          <t>UI-P12</t>
        </is>
      </c>
      <c r="G168" s="8" t="inlineStr">
        <is>
          <t>통과</t>
        </is>
      </c>
      <c r="H168" s="8" t="n">
        <v>6.8</v>
      </c>
    </row>
    <row r="169">
      <c r="A169" s="9" t="n">
        <v>168</v>
      </c>
      <c r="B169" s="9" t="inlineStr">
        <is>
          <t>UI</t>
        </is>
      </c>
      <c r="C169" s="9" t="inlineStr">
        <is>
          <t>DSKY 화면 컨트롤</t>
        </is>
      </c>
      <c r="D169" s="9" t="inlineStr">
        <is>
          <t>DskyPanelUiTests</t>
        </is>
      </c>
      <c r="E169" s="9" t="inlineStr">
        <is>
          <t>Panel_Lamps_LitColorsFollowRealDsky</t>
        </is>
      </c>
      <c r="F169" s="9" t="inlineStr">
        <is>
          <t>UI-P05</t>
        </is>
      </c>
      <c r="G169" s="9" t="inlineStr">
        <is>
          <t>통과</t>
        </is>
      </c>
      <c r="H169" s="9" t="n">
        <v>6.7</v>
      </c>
    </row>
    <row r="170">
      <c r="A170" s="8" t="n">
        <v>169</v>
      </c>
      <c r="B170" s="8" t="inlineStr">
        <is>
          <t>UI</t>
        </is>
      </c>
      <c r="C170" s="8" t="inlineStr">
        <is>
          <t>DSKY 화면 컨트롤</t>
        </is>
      </c>
      <c r="D170" s="8" t="inlineStr">
        <is>
          <t>DskyPanelUiTests</t>
        </is>
      </c>
      <c r="E170" s="8" t="inlineStr">
        <is>
          <t>SegmentDisplay_BlankText_LightsNothing</t>
        </is>
      </c>
      <c r="F170" s="8" t="inlineStr">
        <is>
          <t>UI-P02</t>
        </is>
      </c>
      <c r="G170" s="8" t="inlineStr">
        <is>
          <t>통과</t>
        </is>
      </c>
      <c r="H170" s="8" t="n">
        <v>1.9</v>
      </c>
    </row>
    <row r="171">
      <c r="A171" s="9" t="n">
        <v>170</v>
      </c>
      <c r="B171" s="9" t="inlineStr">
        <is>
          <t>UI</t>
        </is>
      </c>
      <c r="C171" s="9" t="inlineStr">
        <is>
          <t>DSKY 화면 컨트롤</t>
        </is>
      </c>
      <c r="D171" s="9" t="inlineStr">
        <is>
          <t>DskyPanelUiTests</t>
        </is>
      </c>
      <c r="E171" s="9" t="inlineStr">
        <is>
          <t>SegmentDisplay_Digit8_LightsMoreThanDigit1</t>
        </is>
      </c>
      <c r="F171" s="9" t="inlineStr">
        <is>
          <t>UI-P01</t>
        </is>
      </c>
      <c r="G171" s="9" t="inlineStr">
        <is>
          <t>통과</t>
        </is>
      </c>
      <c r="H171" s="9" t="n">
        <v>10.7</v>
      </c>
    </row>
    <row r="172">
      <c r="A172" s="8" t="n">
        <v>171</v>
      </c>
      <c r="B172" s="8" t="inlineStr">
        <is>
          <t>UI</t>
        </is>
      </c>
      <c r="C172" s="8" t="inlineStr">
        <is>
          <t>DSKY 화면 컨트롤</t>
        </is>
      </c>
      <c r="D172" s="8" t="inlineStr">
        <is>
          <t>DskyPanelUiTests</t>
        </is>
      </c>
      <c r="E172" s="8" t="inlineStr">
        <is>
          <t>SegmentDisplay_PlusLightsMoreThanMinus</t>
        </is>
      </c>
      <c r="F172" s="8" t="inlineStr">
        <is>
          <t>UI-P03</t>
        </is>
      </c>
      <c r="G172" s="8" t="inlineStr">
        <is>
          <t>통과</t>
        </is>
      </c>
      <c r="H172" s="8" t="n">
        <v>1.8</v>
      </c>
    </row>
    <row r="173">
      <c r="A173" s="9" t="n">
        <v>172</v>
      </c>
      <c r="B173" s="9" t="inlineStr">
        <is>
          <t>UI</t>
        </is>
      </c>
      <c r="C173" s="9" t="inlineStr">
        <is>
          <t>메인 창</t>
        </is>
      </c>
      <c r="D173" s="9" t="inlineStr">
        <is>
          <t>MainWindowUiTests</t>
        </is>
      </c>
      <c r="E173" s="9" t="inlineStr">
        <is>
          <t>PhaseBox_FollowsTheMissionPosition</t>
        </is>
      </c>
      <c r="F173" s="9" t="inlineStr">
        <is>
          <t>UI-W02</t>
        </is>
      </c>
      <c r="G173" s="9" t="inlineStr">
        <is>
          <t>통과</t>
        </is>
      </c>
      <c r="H173" s="9" t="n">
        <v>14</v>
      </c>
    </row>
    <row r="174">
      <c r="A174" s="8" t="n">
        <v>173</v>
      </c>
      <c r="B174" s="8" t="inlineStr">
        <is>
          <t>UI</t>
        </is>
      </c>
      <c r="C174" s="8" t="inlineStr">
        <is>
          <t>메인 창</t>
        </is>
      </c>
      <c r="D174" s="8" t="inlineStr">
        <is>
          <t>MainWindowUiTests</t>
        </is>
      </c>
      <c r="E174" s="8" t="inlineStr">
        <is>
          <t>PhaseBox_SelectingTheSamePhaseAgainStillJumps</t>
        </is>
      </c>
      <c r="F174" s="8" t="inlineStr">
        <is>
          <t>UI-W03</t>
        </is>
      </c>
      <c r="G174" s="8" t="inlineStr">
        <is>
          <t>통과</t>
        </is>
      </c>
      <c r="H174" s="8" t="n">
        <v>10.1</v>
      </c>
    </row>
    <row r="175">
      <c r="A175" s="9" t="n">
        <v>174</v>
      </c>
      <c r="B175" s="9" t="inlineStr">
        <is>
          <t>UI</t>
        </is>
      </c>
      <c r="C175" s="9" t="inlineStr">
        <is>
          <t>메인 창</t>
        </is>
      </c>
      <c r="D175" s="9" t="inlineStr">
        <is>
          <t>MainWindowUiTests</t>
        </is>
      </c>
      <c r="E175" s="9" t="inlineStr">
        <is>
          <t>Play_AfterMissionEnd_RestartsFromTheBeginning</t>
        </is>
      </c>
      <c r="F175" s="9" t="inlineStr">
        <is>
          <t>UI-W01</t>
        </is>
      </c>
      <c r="G175" s="9" t="inlineStr">
        <is>
          <t>통과</t>
        </is>
      </c>
      <c r="H175" s="9" t="n">
        <v>8.300000000000001</v>
      </c>
    </row>
    <row r="176">
      <c r="A176" s="8" t="n">
        <v>175</v>
      </c>
      <c r="B176" s="8" t="inlineStr">
        <is>
          <t>UI</t>
        </is>
      </c>
      <c r="C176" s="8" t="inlineStr">
        <is>
          <t>키보드 입력</t>
        </is>
      </c>
      <c r="D176" s="8" t="inlineStr">
        <is>
          <t>KeyboardMappingTests</t>
        </is>
      </c>
      <c r="E176" s="8" t="inlineStr">
        <is>
          <t>CtrlOrAltCombinations_AreIgnored</t>
        </is>
      </c>
      <c r="F176" s="8" t="inlineStr">
        <is>
          <t>UI-K07</t>
        </is>
      </c>
      <c r="G176" s="8" t="inlineStr">
        <is>
          <t>통과</t>
        </is>
      </c>
      <c r="H176" s="8" t="n">
        <v>0.3</v>
      </c>
    </row>
    <row r="177">
      <c r="A177" s="9" t="n">
        <v>176</v>
      </c>
      <c r="B177" s="9" t="inlineStr">
        <is>
          <t>UI</t>
        </is>
      </c>
      <c r="C177" s="9" t="inlineStr">
        <is>
          <t>키보드 입력</t>
        </is>
      </c>
      <c r="D177" s="9" t="inlineStr">
        <is>
          <t>KeyboardMappingTests</t>
        </is>
      </c>
      <c r="E177" s="9" t="inlineStr">
        <is>
          <t>EveryDskyKey_IsReachableFromSomePcKey</t>
        </is>
      </c>
      <c r="F177" s="9" t="inlineStr">
        <is>
          <t>UI-K09</t>
        </is>
      </c>
      <c r="G177" s="9" t="inlineStr">
        <is>
          <t>통과</t>
        </is>
      </c>
      <c r="H177" s="9" t="n">
        <v>4.8</v>
      </c>
    </row>
    <row r="178">
      <c r="A178" s="8" t="n">
        <v>177</v>
      </c>
      <c r="B178" s="8" t="inlineStr">
        <is>
          <t>UI</t>
        </is>
      </c>
      <c r="C178" s="8" t="inlineStr">
        <is>
          <t>키보드 입력</t>
        </is>
      </c>
      <c r="D178" s="8" t="inlineStr">
        <is>
          <t>KeyboardMappingTests</t>
        </is>
      </c>
      <c r="E178" s="8" t="inlineStr">
        <is>
          <t>KeyboardNumpadAndSigns_LoadAClockValue</t>
        </is>
      </c>
      <c r="F178" s="8" t="inlineStr">
        <is>
          <t>UI-K11</t>
        </is>
      </c>
      <c r="G178" s="8" t="inlineStr">
        <is>
          <t>통과</t>
        </is>
      </c>
      <c r="H178" s="8" t="n">
        <v>6.3</v>
      </c>
    </row>
    <row r="179">
      <c r="A179" s="9" t="n">
        <v>178</v>
      </c>
      <c r="B179" s="9" t="inlineStr">
        <is>
          <t>UI</t>
        </is>
      </c>
      <c r="C179" s="9" t="inlineStr">
        <is>
          <t>키보드 입력</t>
        </is>
      </c>
      <c r="D179" s="9" t="inlineStr">
        <is>
          <t>KeyboardMappingTests</t>
        </is>
      </c>
      <c r="E179" s="9" t="inlineStr">
        <is>
          <t>KeyboardSequence_V35E_RunsLampTestInTheWindow</t>
        </is>
      </c>
      <c r="F179" s="9" t="inlineStr">
        <is>
          <t>UI-K10</t>
        </is>
      </c>
      <c r="G179" s="9" t="inlineStr">
        <is>
          <t>통과</t>
        </is>
      </c>
      <c r="H179" s="9" t="n">
        <v>7.7</v>
      </c>
    </row>
    <row r="180">
      <c r="A180" s="8" t="n">
        <v>179</v>
      </c>
      <c r="B180" s="8" t="inlineStr">
        <is>
          <t>UI</t>
        </is>
      </c>
      <c r="C180" s="8" t="inlineStr">
        <is>
          <t>키보드 입력</t>
        </is>
      </c>
      <c r="D180" s="8" t="inlineStr">
        <is>
          <t>KeyboardMappingTests</t>
        </is>
      </c>
      <c r="E180" s="8" t="inlineStr">
        <is>
          <t>LetterAndControlKeys_MapToInstructionKeys</t>
        </is>
      </c>
      <c r="F180" s="8" t="inlineStr">
        <is>
          <t>UI-K06</t>
        </is>
      </c>
      <c r="G180" s="8" t="inlineStr">
        <is>
          <t>통과</t>
        </is>
      </c>
      <c r="H180" s="8" t="n">
        <v>1.3</v>
      </c>
    </row>
    <row r="181">
      <c r="A181" s="9" t="n">
        <v>180</v>
      </c>
      <c r="B181" s="9" t="inlineStr">
        <is>
          <t>UI</t>
        </is>
      </c>
      <c r="C181" s="9" t="inlineStr">
        <is>
          <t>키보드 입력</t>
        </is>
      </c>
      <c r="D181" s="9" t="inlineStr">
        <is>
          <t>KeyboardMappingTests</t>
        </is>
      </c>
      <c r="E181" s="9" t="inlineStr">
        <is>
          <t>MinusKeys_NumpadSubtractAndHyphen</t>
        </is>
      </c>
      <c r="F181" s="9" t="inlineStr">
        <is>
          <t>UI-K05</t>
        </is>
      </c>
      <c r="G181" s="9" t="inlineStr">
        <is>
          <t>통과</t>
        </is>
      </c>
      <c r="H181" s="9" t="n">
        <v>0.1</v>
      </c>
    </row>
    <row r="182">
      <c r="A182" s="8" t="n">
        <v>181</v>
      </c>
      <c r="B182" s="8" t="inlineStr">
        <is>
          <t>UI</t>
        </is>
      </c>
      <c r="C182" s="8" t="inlineStr">
        <is>
          <t>키보드 입력</t>
        </is>
      </c>
      <c r="D182" s="8" t="inlineStr">
        <is>
          <t>KeyboardMappingTests</t>
        </is>
      </c>
      <c r="E182" s="8" t="inlineStr">
        <is>
          <t>MouseAndKeyboardCanBeMixedInOneCommand</t>
        </is>
      </c>
      <c r="F182" s="8" t="inlineStr">
        <is>
          <t>UI-K14</t>
        </is>
      </c>
      <c r="G182" s="8" t="inlineStr">
        <is>
          <t>통과</t>
        </is>
      </c>
      <c r="H182" s="8" t="n">
        <v>9.199999999999999</v>
      </c>
    </row>
    <row r="183">
      <c r="A183" s="9" t="n">
        <v>182</v>
      </c>
      <c r="B183" s="9" t="inlineStr">
        <is>
          <t>UI</t>
        </is>
      </c>
      <c r="C183" s="9" t="inlineStr">
        <is>
          <t>키보드 입력</t>
        </is>
      </c>
      <c r="D183" s="9" t="inlineStr">
        <is>
          <t>KeyboardMappingTests</t>
        </is>
      </c>
      <c r="E183" s="9" t="inlineStr">
        <is>
          <t>NumpadDigits_MapToDigitKeys</t>
        </is>
      </c>
      <c r="F183" s="9" t="inlineStr">
        <is>
          <t>UI-K02</t>
        </is>
      </c>
      <c r="G183" s="9" t="inlineStr">
        <is>
          <t>통과</t>
        </is>
      </c>
      <c r="H183" s="9" t="n">
        <v>0.3</v>
      </c>
    </row>
    <row r="184">
      <c r="A184" s="8" t="n">
        <v>183</v>
      </c>
      <c r="B184" s="8" t="inlineStr">
        <is>
          <t>UI</t>
        </is>
      </c>
      <c r="C184" s="8" t="inlineStr">
        <is>
          <t>키보드 입력</t>
        </is>
      </c>
      <c r="D184" s="8" t="inlineStr">
        <is>
          <t>KeyboardMappingTests</t>
        </is>
      </c>
      <c r="E184" s="8" t="inlineStr">
        <is>
          <t>PlusKeys_NumpadAddAndShiftEquals</t>
        </is>
      </c>
      <c r="F184" s="8" t="inlineStr">
        <is>
          <t>UI-K04</t>
        </is>
      </c>
      <c r="G184" s="8" t="inlineStr">
        <is>
          <t>통과</t>
        </is>
      </c>
      <c r="H184" s="8" t="n">
        <v>0.2</v>
      </c>
    </row>
    <row r="185">
      <c r="A185" s="9" t="n">
        <v>184</v>
      </c>
      <c r="B185" s="9" t="inlineStr">
        <is>
          <t>UI</t>
        </is>
      </c>
      <c r="C185" s="9" t="inlineStr">
        <is>
          <t>키보드 입력</t>
        </is>
      </c>
      <c r="D185" s="9" t="inlineStr">
        <is>
          <t>KeyboardMappingTests</t>
        </is>
      </c>
      <c r="E185" s="9" t="inlineStr">
        <is>
          <t>RealKeyDownEvent_IsRoutedAndMarkedHandled</t>
        </is>
      </c>
      <c r="F185" s="9" t="inlineStr">
        <is>
          <t>UI-K12</t>
        </is>
      </c>
      <c r="G185" s="9" t="inlineStr">
        <is>
          <t>통과</t>
        </is>
      </c>
      <c r="H185" s="9" t="n">
        <v>16.2</v>
      </c>
    </row>
    <row r="186">
      <c r="A186" s="8" t="n">
        <v>185</v>
      </c>
      <c r="B186" s="8" t="inlineStr">
        <is>
          <t>UI</t>
        </is>
      </c>
      <c r="C186" s="8" t="inlineStr">
        <is>
          <t>키보드 입력</t>
        </is>
      </c>
      <c r="D186" s="8" t="inlineStr">
        <is>
          <t>KeyboardMappingTests</t>
        </is>
      </c>
      <c r="E186" s="8" t="inlineStr">
        <is>
          <t>ShiftedTopRowDigits_AreIgnored</t>
        </is>
      </c>
      <c r="F186" s="8" t="inlineStr">
        <is>
          <t>UI-K03</t>
        </is>
      </c>
      <c r="G186" s="8" t="inlineStr">
        <is>
          <t>통과</t>
        </is>
      </c>
      <c r="H186" s="8" t="n">
        <v>0.1</v>
      </c>
    </row>
    <row r="187">
      <c r="A187" s="9" t="n">
        <v>186</v>
      </c>
      <c r="B187" s="9" t="inlineStr">
        <is>
          <t>UI</t>
        </is>
      </c>
      <c r="C187" s="9" t="inlineStr">
        <is>
          <t>키보드 입력</t>
        </is>
      </c>
      <c r="D187" s="9" t="inlineStr">
        <is>
          <t>KeyboardMappingTests</t>
        </is>
      </c>
      <c r="E187" s="9" t="inlineStr">
        <is>
          <t>TopRowDigits_MapToDigitKeys</t>
        </is>
      </c>
      <c r="F187" s="9" t="inlineStr">
        <is>
          <t>UI-K01</t>
        </is>
      </c>
      <c r="G187" s="9" t="inlineStr">
        <is>
          <t>통과</t>
        </is>
      </c>
      <c r="H187" s="9" t="n">
        <v>0.9</v>
      </c>
    </row>
    <row r="188">
      <c r="A188" s="8" t="n">
        <v>187</v>
      </c>
      <c r="B188" s="8" t="inlineStr">
        <is>
          <t>UI</t>
        </is>
      </c>
      <c r="C188" s="8" t="inlineStr">
        <is>
          <t>키보드 입력</t>
        </is>
      </c>
      <c r="D188" s="8" t="inlineStr">
        <is>
          <t>KeyboardMappingTests</t>
        </is>
      </c>
      <c r="E188" s="8" t="inlineStr">
        <is>
          <t>UnmappedKeyEvent_IsNotHandled</t>
        </is>
      </c>
      <c r="F188" s="8" t="inlineStr">
        <is>
          <t>UI-K13</t>
        </is>
      </c>
      <c r="G188" s="8" t="inlineStr">
        <is>
          <t>통과</t>
        </is>
      </c>
      <c r="H188" s="8" t="n">
        <v>18.6</v>
      </c>
    </row>
    <row r="189">
      <c r="A189" s="9" t="n">
        <v>188</v>
      </c>
      <c r="B189" s="9" t="inlineStr">
        <is>
          <t>UI</t>
        </is>
      </c>
      <c r="C189" s="9" t="inlineStr">
        <is>
          <t>키보드 입력</t>
        </is>
      </c>
      <c r="D189" s="9" t="inlineStr">
        <is>
          <t>KeyboardMappingTests</t>
        </is>
      </c>
      <c r="E189" s="9" t="inlineStr">
        <is>
          <t>UnmappedKeys_ReturnNull</t>
        </is>
      </c>
      <c r="F189" s="9" t="inlineStr">
        <is>
          <t>UI-K08</t>
        </is>
      </c>
      <c r="G189" s="9" t="inlineStr">
        <is>
          <t>통과</t>
        </is>
      </c>
      <c r="H189" s="9" t="n">
        <v>0.2</v>
      </c>
    </row>
    <row r="190">
      <c r="A190" s="8" t="n">
        <v>189</v>
      </c>
      <c r="B190" s="8" t="inlineStr">
        <is>
          <t>UI</t>
        </is>
      </c>
      <c r="C190" s="8" t="inlineStr">
        <is>
          <t>DSKY 조작</t>
        </is>
      </c>
      <c r="D190" s="8" t="inlineStr">
        <is>
          <t>DskyOperationUiTests</t>
        </is>
      </c>
      <c r="E190" s="8" t="inlineStr">
        <is>
          <t>Clear_ErasesTheFieldBeingTyped</t>
        </is>
      </c>
      <c r="F190" s="8" t="inlineStr">
        <is>
          <t>UI-D06</t>
        </is>
      </c>
      <c r="G190" s="8" t="inlineStr">
        <is>
          <t>통과</t>
        </is>
      </c>
      <c r="H190" s="8" t="n">
        <v>6.2</v>
      </c>
    </row>
    <row r="191">
      <c r="A191" s="9" t="n">
        <v>190</v>
      </c>
      <c r="B191" s="9" t="inlineStr">
        <is>
          <t>UI</t>
        </is>
      </c>
      <c r="C191" s="9" t="inlineStr">
        <is>
          <t>DSKY 조작</t>
        </is>
      </c>
      <c r="D191" s="9" t="inlineStr">
        <is>
          <t>DskyOperationUiTests</t>
        </is>
      </c>
      <c r="E191" s="9" t="inlineStr">
        <is>
          <t>ClockLoad_V25N36E_SetsClockThenMonitorShowsLoadedValue</t>
        </is>
      </c>
      <c r="F191" s="9" t="inlineStr">
        <is>
          <t>UI-D08</t>
        </is>
      </c>
      <c r="G191" s="9" t="inlineStr">
        <is>
          <t>통과</t>
        </is>
      </c>
      <c r="H191" s="9" t="n">
        <v>6</v>
      </c>
    </row>
    <row r="192">
      <c r="A192" s="8" t="n">
        <v>191</v>
      </c>
      <c r="B192" s="8" t="inlineStr">
        <is>
          <t>UI</t>
        </is>
      </c>
      <c r="C192" s="8" t="inlineStr">
        <is>
          <t>DSKY 조작</t>
        </is>
      </c>
      <c r="D192" s="8" t="inlineStr">
        <is>
          <t>DskyOperationUiTests</t>
        </is>
      </c>
      <c r="E192" s="8" t="inlineStr">
        <is>
          <t>DescentVelocityNoun_AtPdi_ShowsOrbitalEntrySpeedAndAltitude</t>
        </is>
      </c>
      <c r="F192" s="8" t="inlineStr">
        <is>
          <t>UI-D16</t>
        </is>
      </c>
      <c r="G192" s="8" t="inlineStr">
        <is>
          <t>통과</t>
        </is>
      </c>
      <c r="H192" s="8" t="n">
        <v>8.9</v>
      </c>
    </row>
    <row r="193">
      <c r="A193" s="9" t="n">
        <v>192</v>
      </c>
      <c r="B193" s="9" t="inlineStr">
        <is>
          <t>UI</t>
        </is>
      </c>
      <c r="C193" s="9" t="inlineStr">
        <is>
          <t>DSKY 조작</t>
        </is>
      </c>
      <c r="D193" s="9" t="inlineStr">
        <is>
          <t>DskyOperationUiTests</t>
        </is>
      </c>
      <c r="E193" s="9" t="inlineStr">
        <is>
          <t>DisplayOnce_V06N36E_StaysFrozenWhileMissionRuns</t>
        </is>
      </c>
      <c r="F193" s="9" t="inlineStr">
        <is>
          <t>UI-D04</t>
        </is>
      </c>
      <c r="G193" s="9" t="inlineStr">
        <is>
          <t>통과</t>
        </is>
      </c>
      <c r="H193" s="9" t="n">
        <v>7.5</v>
      </c>
    </row>
    <row r="194">
      <c r="A194" s="8" t="n">
        <v>193</v>
      </c>
      <c r="B194" s="8" t="inlineStr">
        <is>
          <t>UI</t>
        </is>
      </c>
      <c r="C194" s="8" t="inlineStr">
        <is>
          <t>DSKY 조작</t>
        </is>
      </c>
      <c r="D194" s="8" t="inlineStr">
        <is>
          <t>DskyOperationUiTests</t>
        </is>
      </c>
      <c r="E194" s="8" t="inlineStr">
        <is>
          <t>EveryCommandKeepsTheDisplayWellFormed</t>
        </is>
      </c>
      <c r="F194" s="8" t="inlineStr">
        <is>
          <t>UI-D18</t>
        </is>
      </c>
      <c r="G194" s="8" t="inlineStr">
        <is>
          <t>통과</t>
        </is>
      </c>
      <c r="H194" s="8" t="n">
        <v>9.1</v>
      </c>
    </row>
    <row r="195">
      <c r="A195" s="9" t="n">
        <v>194</v>
      </c>
      <c r="B195" s="9" t="inlineStr">
        <is>
          <t>UI</t>
        </is>
      </c>
      <c r="C195" s="9" t="inlineStr">
        <is>
          <t>DSKY 조작</t>
        </is>
      </c>
      <c r="D195" s="9" t="inlineStr">
        <is>
          <t>DskyOperationUiTests</t>
        </is>
      </c>
      <c r="E195" s="9" t="inlineStr">
        <is>
          <t>InitialScreen_P11ShowsTheVelocityMonitorOnTheCommandModuleDsky</t>
        </is>
      </c>
      <c r="F195" s="9" t="inlineStr">
        <is>
          <t>UI-D01</t>
        </is>
      </c>
      <c r="G195" s="9" t="inlineStr">
        <is>
          <t>통과</t>
        </is>
      </c>
      <c r="H195" s="9" t="n">
        <v>6.4</v>
      </c>
    </row>
    <row r="196">
      <c r="A196" s="8" t="n">
        <v>195</v>
      </c>
      <c r="B196" s="8" t="inlineStr">
        <is>
          <t>UI</t>
        </is>
      </c>
      <c r="C196" s="8" t="inlineStr">
        <is>
          <t>DSKY 조작</t>
        </is>
      </c>
      <c r="D196" s="8" t="inlineStr">
        <is>
          <t>DskyOperationUiTests</t>
        </is>
      </c>
      <c r="E196" s="8" t="inlineStr">
        <is>
          <t>KeyRelease_BlanksDisplayAndStopsMonitor</t>
        </is>
      </c>
      <c r="F196" s="8" t="inlineStr">
        <is>
          <t>UI-D10</t>
        </is>
      </c>
      <c r="G196" s="8" t="inlineStr">
        <is>
          <t>통과</t>
        </is>
      </c>
      <c r="H196" s="8" t="n">
        <v>6.5</v>
      </c>
    </row>
    <row r="197">
      <c r="A197" s="9" t="n">
        <v>196</v>
      </c>
      <c r="B197" s="9" t="inlineStr">
        <is>
          <t>UI</t>
        </is>
      </c>
      <c r="C197" s="9" t="inlineStr">
        <is>
          <t>DSKY 조작</t>
        </is>
      </c>
      <c r="D197" s="9" t="inlineStr">
        <is>
          <t>DskyOperationUiTests</t>
        </is>
      </c>
      <c r="E197" s="9" t="inlineStr">
        <is>
          <t>LampTest_V35E_LightsEverythingFlashesThenLeaves88s</t>
        </is>
      </c>
      <c r="F197" s="9" t="inlineStr">
        <is>
          <t>UI-D02</t>
        </is>
      </c>
      <c r="G197" s="9" t="inlineStr">
        <is>
          <t>통과</t>
        </is>
      </c>
      <c r="H197" s="9" t="n">
        <v>7.7</v>
      </c>
    </row>
    <row r="198">
      <c r="A198" s="8" t="n">
        <v>197</v>
      </c>
      <c r="B198" s="8" t="inlineStr">
        <is>
          <t>UI</t>
        </is>
      </c>
      <c r="C198" s="8" t="inlineStr">
        <is>
          <t>DSKY 조작</t>
        </is>
      </c>
      <c r="D198" s="8" t="inlineStr">
        <is>
          <t>DskyOperationUiTests</t>
        </is>
      </c>
      <c r="E198" s="8" t="inlineStr">
        <is>
          <t>LoadCanBeCancelledWithV34</t>
        </is>
      </c>
      <c r="F198" s="8" t="inlineStr">
        <is>
          <t>UI-D12</t>
        </is>
      </c>
      <c r="G198" s="8" t="inlineStr">
        <is>
          <t>통과</t>
        </is>
      </c>
      <c r="H198" s="8" t="n">
        <v>6.1</v>
      </c>
    </row>
    <row r="199">
      <c r="A199" s="9" t="n">
        <v>198</v>
      </c>
      <c r="B199" s="9" t="inlineStr">
        <is>
          <t>UI</t>
        </is>
      </c>
      <c r="C199" s="9" t="inlineStr">
        <is>
          <t>DSKY 조작</t>
        </is>
      </c>
      <c r="D199" s="9" t="inlineStr">
        <is>
          <t>DskyOperationUiTests</t>
        </is>
      </c>
      <c r="E199" s="9" t="inlineStr">
        <is>
          <t>LoadCanBeEndedWithV33AndLeavesClockUnchanged</t>
        </is>
      </c>
      <c r="F199" s="9" t="inlineStr">
        <is>
          <t>UI-D13</t>
        </is>
      </c>
      <c r="G199" s="9" t="inlineStr">
        <is>
          <t>통과</t>
        </is>
      </c>
      <c r="H199" s="9" t="n">
        <v>5.7</v>
      </c>
    </row>
    <row r="200">
      <c r="A200" s="8" t="n">
        <v>199</v>
      </c>
      <c r="B200" s="8" t="inlineStr">
        <is>
          <t>UI</t>
        </is>
      </c>
      <c r="C200" s="8" t="inlineStr">
        <is>
          <t>DSKY 조작</t>
        </is>
      </c>
      <c r="D200" s="8" t="inlineStr">
        <is>
          <t>DskyOperationUiTests</t>
        </is>
      </c>
      <c r="E200" s="8" t="inlineStr">
        <is>
          <t>Load_RejectsBadValuesAndRestartsFromTheFirstRegister</t>
        </is>
      </c>
      <c r="F200" s="8" t="inlineStr">
        <is>
          <t>UI-D14</t>
        </is>
      </c>
      <c r="G200" s="8" t="inlineStr">
        <is>
          <t>통과</t>
        </is>
      </c>
      <c r="H200" s="8" t="n">
        <v>6</v>
      </c>
    </row>
    <row r="201">
      <c r="A201" s="9" t="n">
        <v>200</v>
      </c>
      <c r="B201" s="9" t="inlineStr">
        <is>
          <t>UI</t>
        </is>
      </c>
      <c r="C201" s="9" t="inlineStr">
        <is>
          <t>DSKY 조작</t>
        </is>
      </c>
      <c r="D201" s="9" t="inlineStr">
        <is>
          <t>DskyOperationUiTests</t>
        </is>
      </c>
      <c r="E201" s="9" t="inlineStr">
        <is>
          <t>Monitor_V16N36E_UpdatesEverySecondWhileMissionRuns</t>
        </is>
      </c>
      <c r="F201" s="9" t="inlineStr">
        <is>
          <t>UI-D03</t>
        </is>
      </c>
      <c r="G201" s="9" t="inlineStr">
        <is>
          <t>통과</t>
        </is>
      </c>
      <c r="H201" s="9" t="n">
        <v>6.7</v>
      </c>
    </row>
    <row r="202">
      <c r="A202" s="8" t="n">
        <v>201</v>
      </c>
      <c r="B202" s="8" t="inlineStr">
        <is>
          <t>UI</t>
        </is>
      </c>
      <c r="C202" s="8" t="inlineStr">
        <is>
          <t>DSKY 조작</t>
        </is>
      </c>
      <c r="D202" s="8" t="inlineStr">
        <is>
          <t>DskyOperationUiTests</t>
        </is>
      </c>
      <c r="E202" s="8" t="inlineStr">
        <is>
          <t>OperatorError_LightsOprErrAndRsetClearsIt</t>
        </is>
      </c>
      <c r="F202" s="8" t="inlineStr">
        <is>
          <t>UI-D05</t>
        </is>
      </c>
      <c r="G202" s="8" t="inlineStr">
        <is>
          <t>통과</t>
        </is>
      </c>
      <c r="H202" s="8" t="n">
        <v>7.1</v>
      </c>
    </row>
    <row r="203">
      <c r="A203" s="9" t="n">
        <v>202</v>
      </c>
      <c r="B203" s="9" t="inlineStr">
        <is>
          <t>UI</t>
        </is>
      </c>
      <c r="C203" s="9" t="inlineStr">
        <is>
          <t>DSKY 조작</t>
        </is>
      </c>
      <c r="D203" s="9" t="inlineStr">
        <is>
          <t>DskyOperationUiTests</t>
        </is>
      </c>
      <c r="E203" s="9" t="inlineStr">
        <is>
          <t>PositionNoun_V06N43E_ShowsTranquilityBaseCoordinates</t>
        </is>
      </c>
      <c r="F203" s="9" t="inlineStr">
        <is>
          <t>UI-D15</t>
        </is>
      </c>
      <c r="G203" s="9" t="inlineStr">
        <is>
          <t>통과</t>
        </is>
      </c>
      <c r="H203" s="9" t="n">
        <v>6.7</v>
      </c>
    </row>
    <row r="204">
      <c r="A204" s="8" t="n">
        <v>203</v>
      </c>
      <c r="B204" s="8" t="inlineStr">
        <is>
          <t>UI</t>
        </is>
      </c>
      <c r="C204" s="8" t="inlineStr">
        <is>
          <t>DSKY 조작</t>
        </is>
      </c>
      <c r="D204" s="8" t="inlineStr">
        <is>
          <t>DskyOperationUiTests</t>
        </is>
      </c>
      <c r="E204" s="8" t="inlineStr">
        <is>
          <t>ProgramChange_V37E00E_ChangesProgWindowAndStopsFlashing</t>
        </is>
      </c>
      <c r="F204" s="8" t="inlineStr">
        <is>
          <t>UI-D07</t>
        </is>
      </c>
      <c r="G204" s="8" t="inlineStr">
        <is>
          <t>통과</t>
        </is>
      </c>
      <c r="H204" s="8" t="n">
        <v>5.7</v>
      </c>
    </row>
    <row r="205">
      <c r="A205" s="9" t="n">
        <v>204</v>
      </c>
      <c r="B205" s="9" t="inlineStr">
        <is>
          <t>UI</t>
        </is>
      </c>
      <c r="C205" s="9" t="inlineStr">
        <is>
          <t>DSKY 조작</t>
        </is>
      </c>
      <c r="D205" s="9" t="inlineStr">
        <is>
          <t>DskyOperationUiTests</t>
        </is>
      </c>
      <c r="E205" s="9" t="inlineStr">
        <is>
          <t>RangeNoun_V06N68E_ShowsRangeAndBrakingTimeAtPdi</t>
        </is>
      </c>
      <c r="F205" s="9" t="inlineStr">
        <is>
          <t>UI-D17</t>
        </is>
      </c>
      <c r="G205" s="9" t="inlineStr">
        <is>
          <t>통과</t>
        </is>
      </c>
      <c r="H205" s="9" t="n">
        <v>7.5</v>
      </c>
    </row>
    <row r="206">
      <c r="A206" s="8" t="n">
        <v>205</v>
      </c>
      <c r="B206" s="8" t="inlineStr">
        <is>
          <t>UI</t>
        </is>
      </c>
      <c r="C206" s="8" t="inlineStr">
        <is>
          <t>DSKY 조작</t>
        </is>
      </c>
      <c r="D206" s="8" t="inlineStr">
        <is>
          <t>DskyOperationUiTests</t>
        </is>
      </c>
      <c r="E206" s="8" t="inlineStr">
        <is>
          <t>Typing_ShowsDigitsProgressivelyInVerbAndNounWindows</t>
        </is>
      </c>
      <c r="F206" s="8" t="inlineStr">
        <is>
          <t>UI-D09</t>
        </is>
      </c>
      <c r="G206" s="8" t="inlineStr">
        <is>
          <t>통과</t>
        </is>
      </c>
      <c r="H206" s="8" t="n">
        <v>6.2</v>
      </c>
    </row>
    <row r="207">
      <c r="A207" s="9" t="n">
        <v>206</v>
      </c>
      <c r="B207" s="9" t="inlineStr">
        <is>
          <t>UI</t>
        </is>
      </c>
      <c r="C207" s="9" t="inlineStr">
        <is>
          <t>DSKY 조작</t>
        </is>
      </c>
      <c r="D207" s="9" t="inlineStr">
        <is>
          <t>DskyOperationUiTests</t>
        </is>
      </c>
      <c r="E207" s="9" t="inlineStr">
        <is>
          <t>UnsupportedCommands_LightOprErr</t>
        </is>
      </c>
      <c r="F207" s="9" t="inlineStr">
        <is>
          <t>UI-D11</t>
        </is>
      </c>
      <c r="G207" s="9" t="inlineStr">
        <is>
          <t>통과</t>
        </is>
      </c>
      <c r="H207" s="9" t="n">
        <v>7</v>
      </c>
    </row>
    <row r="208">
      <c r="A208" s="8" t="n">
        <v>207</v>
      </c>
      <c r="B208" s="8" t="inlineStr">
        <is>
          <t>UI</t>
        </is>
      </c>
      <c r="C208" s="8" t="inlineStr">
        <is>
          <t>미션 컨트롤</t>
        </is>
      </c>
      <c r="D208" s="8" t="inlineStr">
        <is>
          <t>MissionControlUiTests</t>
        </is>
      </c>
      <c r="E208" s="8" t="inlineStr">
        <is>
          <t>Alarm_WhilePlaying_LightsProgLampButSeekDoesNot</t>
        </is>
      </c>
      <c r="F208" s="8" t="inlineStr">
        <is>
          <t>UI-S14</t>
        </is>
      </c>
      <c r="G208" s="8" t="inlineStr">
        <is>
          <t>통과</t>
        </is>
      </c>
      <c r="H208" s="8" t="n">
        <v>8.6</v>
      </c>
    </row>
    <row r="209">
      <c r="A209" s="9" t="n">
        <v>208</v>
      </c>
      <c r="B209" s="9" t="inlineStr">
        <is>
          <t>UI</t>
        </is>
      </c>
      <c r="C209" s="9" t="inlineStr">
        <is>
          <t>미션 컨트롤</t>
        </is>
      </c>
      <c r="D209" s="9" t="inlineStr">
        <is>
          <t>MissionControlUiTests</t>
        </is>
      </c>
      <c r="E209" s="9" t="inlineStr">
        <is>
          <t>EverySpeedOption_AdvancesMissionByThatManySecondsPerRealSecond</t>
        </is>
      </c>
      <c r="F209" s="9" t="inlineStr">
        <is>
          <t>UI-S03</t>
        </is>
      </c>
      <c r="G209" s="9" t="inlineStr">
        <is>
          <t>통과</t>
        </is>
      </c>
      <c r="H209" s="9" t="n">
        <v>10.8</v>
      </c>
    </row>
    <row r="210">
      <c r="A210" s="8" t="n">
        <v>209</v>
      </c>
      <c r="B210" s="8" t="inlineStr">
        <is>
          <t>UI</t>
        </is>
      </c>
      <c r="C210" s="8" t="inlineStr">
        <is>
          <t>미션 컨트롤</t>
        </is>
      </c>
      <c r="D210" s="8" t="inlineStr">
        <is>
          <t>MissionControlUiTests</t>
        </is>
      </c>
      <c r="E210" s="8" t="inlineStr">
        <is>
          <t>Illustration_ShowsTheSceneOfTheCurrentPhase_AndItsCaptionChanges</t>
        </is>
      </c>
      <c r="F210" s="8" t="inlineStr">
        <is>
          <t>UI-S15</t>
        </is>
      </c>
      <c r="G210" s="8" t="inlineStr">
        <is>
          <t>통과</t>
        </is>
      </c>
      <c r="H210" s="8" t="n">
        <v>37.5</v>
      </c>
    </row>
    <row r="211">
      <c r="A211" s="9" t="n">
        <v>210</v>
      </c>
      <c r="B211" s="9" t="inlineStr">
        <is>
          <t>UI</t>
        </is>
      </c>
      <c r="C211" s="9" t="inlineStr">
        <is>
          <t>미션 컨트롤</t>
        </is>
      </c>
      <c r="D211" s="9" t="inlineStr">
        <is>
          <t>MissionControlUiTests</t>
        </is>
      </c>
      <c r="E211" s="9" t="inlineStr">
        <is>
          <t>InitialState_IsPausedAtLiftoffWithDefaultSpeed</t>
        </is>
      </c>
      <c r="F211" s="9" t="inlineStr">
        <is>
          <t>UI-S01</t>
        </is>
      </c>
      <c r="G211" s="9" t="inlineStr">
        <is>
          <t>통과</t>
        </is>
      </c>
      <c r="H211" s="9" t="n">
        <v>6.3</v>
      </c>
    </row>
    <row r="212">
      <c r="A212" s="8" t="n">
        <v>211</v>
      </c>
      <c r="B212" s="8" t="inlineStr">
        <is>
          <t>UI</t>
        </is>
      </c>
      <c r="C212" s="8" t="inlineStr">
        <is>
          <t>미션 컨트롤</t>
        </is>
      </c>
      <c r="D212" s="8" t="inlineStr">
        <is>
          <t>MissionControlUiTests</t>
        </is>
      </c>
      <c r="E212" s="8" t="inlineStr">
        <is>
          <t>LandingSite_ShowsTranquilityCoordinatesOnTheGround</t>
        </is>
      </c>
      <c r="F212" s="8" t="inlineStr">
        <is>
          <t>UI-S11</t>
        </is>
      </c>
      <c r="G212" s="8" t="inlineStr">
        <is>
          <t>통과</t>
        </is>
      </c>
      <c r="H212" s="8" t="n">
        <v>7.4</v>
      </c>
    </row>
    <row r="213">
      <c r="A213" s="9" t="n">
        <v>212</v>
      </c>
      <c r="B213" s="9" t="inlineStr">
        <is>
          <t>UI</t>
        </is>
      </c>
      <c r="C213" s="9" t="inlineStr">
        <is>
          <t>미션 컨트롤</t>
        </is>
      </c>
      <c r="D213" s="9" t="inlineStr">
        <is>
          <t>MissionControlUiTests</t>
        </is>
      </c>
      <c r="E213" s="9" t="inlineStr">
        <is>
          <t>MissionEnd_StopsPlaybackAutomatically</t>
        </is>
      </c>
      <c r="F213" s="9" t="inlineStr">
        <is>
          <t>UI-S08</t>
        </is>
      </c>
      <c r="G213" s="9" t="inlineStr">
        <is>
          <t>통과</t>
        </is>
      </c>
      <c r="H213" s="9" t="n">
        <v>9.5</v>
      </c>
    </row>
    <row r="214">
      <c r="A214" s="8" t="n">
        <v>213</v>
      </c>
      <c r="B214" s="8" t="inlineStr">
        <is>
          <t>UI</t>
        </is>
      </c>
      <c r="C214" s="8" t="inlineStr">
        <is>
          <t>미션 컨트롤</t>
        </is>
      </c>
      <c r="D214" s="8" t="inlineStr">
        <is>
          <t>MissionControlUiTests</t>
        </is>
      </c>
      <c r="E214" s="8" t="inlineStr">
        <is>
          <t>PhaseBox_FollowsPlaybackAcrossPhaseBoundaries</t>
        </is>
      </c>
      <c r="F214" s="8" t="inlineStr">
        <is>
          <t>UI-S13</t>
        </is>
      </c>
      <c r="G214" s="8" t="inlineStr">
        <is>
          <t>통과</t>
        </is>
      </c>
      <c r="H214" s="8" t="n">
        <v>6.9</v>
      </c>
    </row>
    <row r="215">
      <c r="A215" s="9" t="n">
        <v>214</v>
      </c>
      <c r="B215" s="9" t="inlineStr">
        <is>
          <t>UI</t>
        </is>
      </c>
      <c r="C215" s="9" t="inlineStr">
        <is>
          <t>미션 컨트롤</t>
        </is>
      </c>
      <c r="D215" s="9" t="inlineStr">
        <is>
          <t>MissionControlUiTests</t>
        </is>
      </c>
      <c r="E215" s="9" t="inlineStr">
        <is>
          <t>PhaseDescriptions_AreFilledForEveryPhase</t>
        </is>
      </c>
      <c r="F215" s="9" t="inlineStr">
        <is>
          <t>UI-S16</t>
        </is>
      </c>
      <c r="G215" s="9" t="inlineStr">
        <is>
          <t>통과</t>
        </is>
      </c>
      <c r="H215" s="9" t="n">
        <v>39.6</v>
      </c>
    </row>
    <row r="216">
      <c r="A216" s="8" t="n">
        <v>215</v>
      </c>
      <c r="B216" s="8" t="inlineStr">
        <is>
          <t>UI</t>
        </is>
      </c>
      <c r="C216" s="8" t="inlineStr">
        <is>
          <t>미션 컨트롤</t>
        </is>
      </c>
      <c r="D216" s="8" t="inlineStr">
        <is>
          <t>MissionControlUiTests</t>
        </is>
      </c>
      <c r="E216" s="8" t="inlineStr">
        <is>
          <t>PhaseJump_EveryPhase_ShowsItsStartTimeNameProgramAndDescription</t>
        </is>
      </c>
      <c r="F216" s="8" t="inlineStr">
        <is>
          <t>UI-S07</t>
        </is>
      </c>
      <c r="G216" s="8" t="inlineStr">
        <is>
          <t>통과</t>
        </is>
      </c>
      <c r="H216" s="8" t="n">
        <v>35.2</v>
      </c>
    </row>
    <row r="217">
      <c r="A217" s="9" t="n">
        <v>216</v>
      </c>
      <c r="B217" s="9" t="inlineStr">
        <is>
          <t>UI</t>
        </is>
      </c>
      <c r="C217" s="9" t="inlineStr">
        <is>
          <t>미션 컨트롤</t>
        </is>
      </c>
      <c r="D217" s="9" t="inlineStr">
        <is>
          <t>MissionControlUiTests</t>
        </is>
      </c>
      <c r="E217" s="9" t="inlineStr">
        <is>
          <t>PlayAndPause_ToggleTheButtonAndTheClock</t>
        </is>
      </c>
      <c r="F217" s="9" t="inlineStr">
        <is>
          <t>UI-S02</t>
        </is>
      </c>
      <c r="G217" s="9" t="inlineStr">
        <is>
          <t>통과</t>
        </is>
      </c>
      <c r="H217" s="9" t="n">
        <v>7.2</v>
      </c>
    </row>
    <row r="218">
      <c r="A218" s="8" t="n">
        <v>217</v>
      </c>
      <c r="B218" s="8" t="inlineStr">
        <is>
          <t>UI</t>
        </is>
      </c>
      <c r="C218" s="8" t="inlineStr">
        <is>
          <t>미션 컨트롤</t>
        </is>
      </c>
      <c r="D218" s="8" t="inlineStr">
        <is>
          <t>MissionControlUiTests</t>
        </is>
      </c>
      <c r="E218" s="8" t="inlineStr">
        <is>
          <t>ReferenceBody_SwitchesToMoonAtLunarSphereEntry</t>
        </is>
      </c>
      <c r="F218" s="8" t="inlineStr">
        <is>
          <t>UI-S10</t>
        </is>
      </c>
      <c r="G218" s="8" t="inlineStr">
        <is>
          <t>통과</t>
        </is>
      </c>
      <c r="H218" s="8" t="n">
        <v>9</v>
      </c>
    </row>
    <row r="219">
      <c r="A219" s="9" t="n">
        <v>218</v>
      </c>
      <c r="B219" s="9" t="inlineStr">
        <is>
          <t>UI</t>
        </is>
      </c>
      <c r="C219" s="9" t="inlineStr">
        <is>
          <t>미션 컨트롤</t>
        </is>
      </c>
      <c r="D219" s="9" t="inlineStr">
        <is>
          <t>MissionControlUiTests</t>
        </is>
      </c>
      <c r="E219" s="9" t="inlineStr">
        <is>
          <t>Slider_FollowsPlaybackAndSeekFromTheSliderContinuesFromThere</t>
        </is>
      </c>
      <c r="F219" s="9" t="inlineStr">
        <is>
          <t>UI-S12</t>
        </is>
      </c>
      <c r="G219" s="9" t="inlineStr">
        <is>
          <t>통과</t>
        </is>
      </c>
      <c r="H219" s="9" t="n">
        <v>7.2</v>
      </c>
    </row>
    <row r="220">
      <c r="A220" s="8" t="n">
        <v>219</v>
      </c>
      <c r="B220" s="8" t="inlineStr">
        <is>
          <t>UI</t>
        </is>
      </c>
      <c r="C220" s="8" t="inlineStr">
        <is>
          <t>미션 컨트롤</t>
        </is>
      </c>
      <c r="D220" s="8" t="inlineStr">
        <is>
          <t>MissionControlUiTests</t>
        </is>
      </c>
      <c r="E220" s="8" t="inlineStr">
        <is>
          <t>Slider_RangeCoversTheWholeMission</t>
        </is>
      </c>
      <c r="F220" s="8" t="inlineStr">
        <is>
          <t>UI-S06</t>
        </is>
      </c>
      <c r="G220" s="8" t="inlineStr">
        <is>
          <t>통과</t>
        </is>
      </c>
      <c r="H220" s="8" t="n">
        <v>6.7</v>
      </c>
    </row>
    <row r="221">
      <c r="A221" s="9" t="n">
        <v>220</v>
      </c>
      <c r="B221" s="9" t="inlineStr">
        <is>
          <t>UI</t>
        </is>
      </c>
      <c r="C221" s="9" t="inlineStr">
        <is>
          <t>미션 컨트롤</t>
        </is>
      </c>
      <c r="D221" s="9" t="inlineStr">
        <is>
          <t>MissionControlUiTests</t>
        </is>
      </c>
      <c r="E221" s="9" t="inlineStr">
        <is>
          <t>Slider_SeekShowsMetPhaseAndDescription</t>
        </is>
      </c>
      <c r="F221" s="9" t="inlineStr">
        <is>
          <t>UI-S05</t>
        </is>
      </c>
      <c r="G221" s="9" t="inlineStr">
        <is>
          <t>통과</t>
        </is>
      </c>
      <c r="H221" s="9" t="n">
        <v>7.6</v>
      </c>
    </row>
    <row r="222">
      <c r="A222" s="8" t="n">
        <v>221</v>
      </c>
      <c r="B222" s="8" t="inlineStr">
        <is>
          <t>UI</t>
        </is>
      </c>
      <c r="C222" s="8" t="inlineStr">
        <is>
          <t>미션 컨트롤</t>
        </is>
      </c>
      <c r="D222" s="8" t="inlineStr">
        <is>
          <t>MissionControlUiTests</t>
        </is>
      </c>
      <c r="E222" s="8" t="inlineStr">
        <is>
          <t>SpeedChange_WhilePlaying_TakesEffectImmediately</t>
        </is>
      </c>
      <c r="F222" s="8" t="inlineStr">
        <is>
          <t>UI-S04</t>
        </is>
      </c>
      <c r="G222" s="8" t="inlineStr">
        <is>
          <t>통과</t>
        </is>
      </c>
      <c r="H222" s="8" t="n">
        <v>8.800000000000001</v>
      </c>
    </row>
    <row r="223">
      <c r="A223" s="9" t="n">
        <v>222</v>
      </c>
      <c r="B223" s="9" t="inlineStr">
        <is>
          <t>UI</t>
        </is>
      </c>
      <c r="C223" s="9" t="inlineStr">
        <is>
          <t>미션 컨트롤</t>
        </is>
      </c>
      <c r="D223" s="9" t="inlineStr">
        <is>
          <t>MissionControlUiTests</t>
        </is>
      </c>
      <c r="E223" s="9" t="inlineStr">
        <is>
          <t>Telemetry_AtLiftoffAndAtPdi_ShowsExpectedTexts</t>
        </is>
      </c>
      <c r="F223" s="9" t="inlineStr">
        <is>
          <t>UI-S09</t>
        </is>
      </c>
      <c r="G223" s="9" t="inlineStr">
        <is>
          <t>통과</t>
        </is>
      </c>
      <c r="H223" s="9" t="n">
        <v>20.9</v>
      </c>
    </row>
    <row r="224">
      <c r="A224" s="8" t="n">
        <v>223</v>
      </c>
      <c r="B224" s="8" t="inlineStr">
        <is>
          <t>UI</t>
        </is>
      </c>
      <c r="C224" s="8" t="inlineStr">
        <is>
          <t>복합 시나리오</t>
        </is>
      </c>
      <c r="D224" s="8" t="inlineStr">
        <is>
          <t>CompositeScenarioUiTests</t>
        </is>
      </c>
      <c r="E224" s="8" t="inlineStr">
        <is>
          <t>AlarmReadAndClear_V05N09E_ThenRsetThenNextAlarmsAccumulate</t>
        </is>
      </c>
      <c r="F224" s="8" t="inlineStr">
        <is>
          <t>UI-C02</t>
        </is>
      </c>
      <c r="G224" s="8" t="inlineStr">
        <is>
          <t>통과</t>
        </is>
      </c>
      <c r="H224" s="8" t="n">
        <v>17.4</v>
      </c>
    </row>
    <row r="225">
      <c r="A225" s="9" t="n">
        <v>224</v>
      </c>
      <c r="B225" s="9" t="inlineStr">
        <is>
          <t>UI</t>
        </is>
      </c>
      <c r="C225" s="9" t="inlineStr">
        <is>
          <t>복합 시나리오</t>
        </is>
      </c>
      <c r="D225" s="9" t="inlineStr">
        <is>
          <t>CompositeScenarioUiTests</t>
        </is>
      </c>
      <c r="E225" s="9" t="inlineStr">
        <is>
          <t>ClockLoad_ThenRunning_ClockKeepsAdvancingFromLoadedValue</t>
        </is>
      </c>
      <c r="F225" s="9" t="inlineStr">
        <is>
          <t>UI-C04</t>
        </is>
      </c>
      <c r="G225" s="9" t="inlineStr">
        <is>
          <t>통과</t>
        </is>
      </c>
      <c r="H225" s="9" t="n">
        <v>8.1</v>
      </c>
    </row>
    <row r="226">
      <c r="A226" s="8" t="n">
        <v>225</v>
      </c>
      <c r="B226" s="8" t="inlineStr">
        <is>
          <t>UI</t>
        </is>
      </c>
      <c r="C226" s="8" t="inlineStr">
        <is>
          <t>복합 시나리오</t>
        </is>
      </c>
      <c r="D226" s="8" t="inlineStr">
        <is>
          <t>CompositeScenarioUiTests</t>
        </is>
      </c>
      <c r="E226" s="8" t="inlineStr">
        <is>
          <t>DisposingTheWindowTwice_IsHarmless</t>
        </is>
      </c>
      <c r="F226" s="8" t="inlineStr">
        <is>
          <t>UI-C17</t>
        </is>
      </c>
      <c r="G226" s="8" t="inlineStr">
        <is>
          <t>통과</t>
        </is>
      </c>
      <c r="H226" s="8" t="n">
        <v>10.9</v>
      </c>
    </row>
    <row r="227">
      <c r="A227" s="9" t="n">
        <v>226</v>
      </c>
      <c r="B227" s="9" t="inlineStr">
        <is>
          <t>UI</t>
        </is>
      </c>
      <c r="C227" s="9" t="inlineStr">
        <is>
          <t>복합 시나리오</t>
        </is>
      </c>
      <c r="D227" s="9" t="inlineStr">
        <is>
          <t>CompositeScenarioUiTests</t>
        </is>
      </c>
      <c r="E227" s="9" t="inlineStr">
        <is>
          <t>FullDescent_P63ToP68_MonitorAltitudeProgramsAndFiveAlarms</t>
        </is>
      </c>
      <c r="F227" s="9" t="inlineStr">
        <is>
          <t>UI-C01</t>
        </is>
      </c>
      <c r="G227" s="9" t="inlineStr">
        <is>
          <t>통과</t>
        </is>
      </c>
      <c r="H227" s="9" t="n">
        <v>224.9</v>
      </c>
    </row>
    <row r="228">
      <c r="A228" s="8" t="n">
        <v>227</v>
      </c>
      <c r="B228" s="8" t="inlineStr">
        <is>
          <t>UI</t>
        </is>
      </c>
      <c r="C228" s="8" t="inlineStr">
        <is>
          <t>복합 시나리오</t>
        </is>
      </c>
      <c r="D228" s="8" t="inlineStr">
        <is>
          <t>CompositeScenarioUiTests</t>
        </is>
      </c>
      <c r="E228" s="8" t="inlineStr">
        <is>
          <t>KeyReleaseDuringMonitorThenNewCommand_WorksWithoutResidue</t>
        </is>
      </c>
      <c r="F228" s="8" t="inlineStr">
        <is>
          <t>UI-C14</t>
        </is>
      </c>
      <c r="G228" s="8" t="inlineStr">
        <is>
          <t>통과</t>
        </is>
      </c>
      <c r="H228" s="8" t="n">
        <v>7.7</v>
      </c>
    </row>
    <row r="229">
      <c r="A229" s="9" t="n">
        <v>228</v>
      </c>
      <c r="B229" s="9" t="inlineStr">
        <is>
          <t>UI</t>
        </is>
      </c>
      <c r="C229" s="9" t="inlineStr">
        <is>
          <t>복합 시나리오</t>
        </is>
      </c>
      <c r="D229" s="9" t="inlineStr">
        <is>
          <t>CompositeScenarioUiTests</t>
        </is>
      </c>
      <c r="E229" s="9" t="inlineStr">
        <is>
          <t>LampTestWhileMissionRuns_IgnoresKeysThenResumes</t>
        </is>
      </c>
      <c r="F229" s="9" t="inlineStr">
        <is>
          <t>UI-C06</t>
        </is>
      </c>
      <c r="G229" s="9" t="inlineStr">
        <is>
          <t>통과</t>
        </is>
      </c>
      <c r="H229" s="9" t="n">
        <v>8.9</v>
      </c>
    </row>
    <row r="230">
      <c r="A230" s="8" t="n">
        <v>229</v>
      </c>
      <c r="B230" s="8" t="inlineStr">
        <is>
          <t>UI</t>
        </is>
      </c>
      <c r="C230" s="8" t="inlineStr">
        <is>
          <t>복합 시나리오</t>
        </is>
      </c>
      <c r="D230" s="8" t="inlineStr">
        <is>
          <t>CompositeScenarioUiTests</t>
        </is>
      </c>
      <c r="E230" s="8" t="inlineStr">
        <is>
          <t>LoadInProgress_WhileMissionRuns_StillCompletes</t>
        </is>
      </c>
      <c r="F230" s="8" t="inlineStr">
        <is>
          <t>UI-C07</t>
        </is>
      </c>
      <c r="G230" s="8" t="inlineStr">
        <is>
          <t>통과</t>
        </is>
      </c>
      <c r="H230" s="8" t="n">
        <v>8.6</v>
      </c>
    </row>
    <row r="231">
      <c r="A231" s="9" t="n">
        <v>230</v>
      </c>
      <c r="B231" s="9" t="inlineStr">
        <is>
          <t>UI</t>
        </is>
      </c>
      <c r="C231" s="9" t="inlineStr">
        <is>
          <t>복합 시나리오</t>
        </is>
      </c>
      <c r="D231" s="9" t="inlineStr">
        <is>
          <t>CompositeScenarioUiTests</t>
        </is>
      </c>
      <c r="E231" s="9" t="inlineStr">
        <is>
          <t>LogFile_RecordsPhasesAlarmsAndCommandsOfARun</t>
        </is>
      </c>
      <c r="F231" s="9" t="inlineStr">
        <is>
          <t>UI-C16</t>
        </is>
      </c>
      <c r="G231" s="9" t="inlineStr">
        <is>
          <t>통과</t>
        </is>
      </c>
      <c r="H231" s="9" t="n">
        <v>17.1</v>
      </c>
    </row>
    <row r="232">
      <c r="A232" s="8" t="n">
        <v>231</v>
      </c>
      <c r="B232" s="8" t="inlineStr">
        <is>
          <t>UI</t>
        </is>
      </c>
      <c r="C232" s="8" t="inlineStr">
        <is>
          <t>복합 시나리오</t>
        </is>
      </c>
      <c r="D232" s="8" t="inlineStr">
        <is>
          <t>CompositeScenarioUiTests</t>
        </is>
      </c>
      <c r="E232" s="8" t="inlineStr">
        <is>
          <t>MonitorFollowsSeek_ToTouchdownAndBack</t>
        </is>
      </c>
      <c r="F232" s="8" t="inlineStr">
        <is>
          <t>UI-C05</t>
        </is>
      </c>
      <c r="G232" s="8" t="inlineStr">
        <is>
          <t>통과</t>
        </is>
      </c>
      <c r="H232" s="8" t="n">
        <v>9.4</v>
      </c>
    </row>
    <row r="233">
      <c r="A233" s="9" t="n">
        <v>232</v>
      </c>
      <c r="B233" s="9" t="inlineStr">
        <is>
          <t>UI</t>
        </is>
      </c>
      <c r="C233" s="9" t="inlineStr">
        <is>
          <t>복합 시나리오</t>
        </is>
      </c>
      <c r="D233" s="9" t="inlineStr">
        <is>
          <t>CompositeScenarioUiTests</t>
        </is>
      </c>
      <c r="E233" s="9" t="inlineStr">
        <is>
          <t>PlayPauseResume_KeepsTimeContinuity</t>
        </is>
      </c>
      <c r="F233" s="9" t="inlineStr">
        <is>
          <t>UI-C11</t>
        </is>
      </c>
      <c r="G233" s="9" t="inlineStr">
        <is>
          <t>통과</t>
        </is>
      </c>
      <c r="H233" s="9" t="n">
        <v>6.7</v>
      </c>
    </row>
    <row r="234">
      <c r="A234" s="8" t="n">
        <v>233</v>
      </c>
      <c r="B234" s="8" t="inlineStr">
        <is>
          <t>UI</t>
        </is>
      </c>
      <c r="C234" s="8" t="inlineStr">
        <is>
          <t>복합 시나리오</t>
        </is>
      </c>
      <c r="D234" s="8" t="inlineStr">
        <is>
          <t>CompositeScenarioUiTests</t>
        </is>
      </c>
      <c r="E234" s="8" t="inlineStr">
        <is>
          <t>PositionNounAcrossEveryPhase_MatchesTheMissionDataExactly</t>
        </is>
      </c>
      <c r="F234" s="8" t="inlineStr">
        <is>
          <t>UI-C09</t>
        </is>
      </c>
      <c r="G234" s="8" t="inlineStr">
        <is>
          <t>통과</t>
        </is>
      </c>
      <c r="H234" s="8" t="n">
        <v>38.9</v>
      </c>
    </row>
    <row r="235">
      <c r="A235" s="9" t="n">
        <v>234</v>
      </c>
      <c r="B235" s="9" t="inlineStr">
        <is>
          <t>UI</t>
        </is>
      </c>
      <c r="C235" s="9" t="inlineStr">
        <is>
          <t>복합 시나리오</t>
        </is>
      </c>
      <c r="D235" s="9" t="inlineStr">
        <is>
          <t>CompositeScenarioUiTests</t>
        </is>
      </c>
      <c r="E235" s="9" t="inlineStr">
        <is>
          <t>ProgramChangeAndPhaseJump_OverrideIsDroppedWhenJumpingToAnotherPhase</t>
        </is>
      </c>
      <c r="F235" s="9" t="inlineStr">
        <is>
          <t>UI-C15</t>
        </is>
      </c>
      <c r="G235" s="9" t="inlineStr">
        <is>
          <t>통과</t>
        </is>
      </c>
      <c r="H235" s="9" t="n">
        <v>11.3</v>
      </c>
    </row>
    <row r="236">
      <c r="A236" s="8" t="n">
        <v>235</v>
      </c>
      <c r="B236" s="8" t="inlineStr">
        <is>
          <t>UI</t>
        </is>
      </c>
      <c r="C236" s="8" t="inlineStr">
        <is>
          <t>복합 시나리오</t>
        </is>
      </c>
      <c r="D236" s="8" t="inlineStr">
        <is>
          <t>CompositeScenarioUiTests</t>
        </is>
      </c>
      <c r="E236" s="8" t="inlineStr">
        <is>
          <t>ProgramOverride_V37E00E_RevertsAtNextMissionPhase</t>
        </is>
      </c>
      <c r="F236" s="8" t="inlineStr">
        <is>
          <t>UI-C03</t>
        </is>
      </c>
      <c r="G236" s="8" t="inlineStr">
        <is>
          <t>통과</t>
        </is>
      </c>
      <c r="H236" s="8" t="n">
        <v>14.4</v>
      </c>
    </row>
    <row r="237">
      <c r="A237" s="9" t="n">
        <v>236</v>
      </c>
      <c r="B237" s="9" t="inlineStr">
        <is>
          <t>UI</t>
        </is>
      </c>
      <c r="C237" s="9" t="inlineStr">
        <is>
          <t>복합 시나리오</t>
        </is>
      </c>
      <c r="D237" s="9" t="inlineStr">
        <is>
          <t>CompositeScenarioUiTests</t>
        </is>
      </c>
      <c r="E237" s="9" t="inlineStr">
        <is>
          <t>RandomKeyAndTimeStress_NeverBreaksTheDisplay</t>
        </is>
      </c>
      <c r="F237" s="9" t="inlineStr">
        <is>
          <t>UI-C12</t>
        </is>
      </c>
      <c r="G237" s="9" t="inlineStr">
        <is>
          <t>통과</t>
        </is>
      </c>
      <c r="H237" s="9" t="n">
        <v>18.3</v>
      </c>
    </row>
    <row r="238">
      <c r="A238" s="8" t="n">
        <v>237</v>
      </c>
      <c r="B238" s="8" t="inlineStr">
        <is>
          <t>UI</t>
        </is>
      </c>
      <c r="C238" s="8" t="inlineStr">
        <is>
          <t>복합 시나리오</t>
        </is>
      </c>
      <c r="D238" s="8" t="inlineStr">
        <is>
          <t>CompositeScenarioUiTests</t>
        </is>
      </c>
      <c r="E238" s="8" t="inlineStr">
        <is>
          <t>RangeAndTimeToGo_CountDownDuringBraking</t>
        </is>
      </c>
      <c r="F238" s="8" t="inlineStr">
        <is>
          <t>UI-C10</t>
        </is>
      </c>
      <c r="G238" s="8" t="inlineStr">
        <is>
          <t>통과</t>
        </is>
      </c>
      <c r="H238" s="8" t="n">
        <v>8.199999999999999</v>
      </c>
    </row>
    <row r="239">
      <c r="A239" s="9" t="n">
        <v>238</v>
      </c>
      <c r="B239" s="9" t="inlineStr">
        <is>
          <t>UI</t>
        </is>
      </c>
      <c r="C239" s="9" t="inlineStr">
        <is>
          <t>복합 시나리오</t>
        </is>
      </c>
      <c r="D239" s="9" t="inlineStr">
        <is>
          <t>CompositeScenarioUiTests</t>
        </is>
      </c>
      <c r="E239" s="9" t="inlineStr">
        <is>
          <t>SeekIntoMiddleOfAlarms_OnlyRaisesTheOnesAhead</t>
        </is>
      </c>
      <c r="F239" s="9" t="inlineStr">
        <is>
          <t>UI-C13</t>
        </is>
      </c>
      <c r="G239" s="9" t="inlineStr">
        <is>
          <t>통과</t>
        </is>
      </c>
      <c r="H239" s="9" t="n">
        <v>12.9</v>
      </c>
    </row>
    <row r="240">
      <c r="A240" s="8" t="n">
        <v>239</v>
      </c>
      <c r="B240" s="8" t="inlineStr">
        <is>
          <t>UI</t>
        </is>
      </c>
      <c r="C240" s="8" t="inlineStr">
        <is>
          <t>복합 시나리오</t>
        </is>
      </c>
      <c r="D240" s="8" t="inlineStr">
        <is>
          <t>CompositeScenarioUiTests</t>
        </is>
      </c>
      <c r="E240" s="8" t="inlineStr">
        <is>
          <t>WholeMissionAt3600x_VisitsMajorProgramsAndKeepsLastThreeAlarms</t>
        </is>
      </c>
      <c r="F240" s="8" t="inlineStr">
        <is>
          <t>UI-C08</t>
        </is>
      </c>
      <c r="G240" s="8" t="inlineStr">
        <is>
          <t>통과</t>
        </is>
      </c>
      <c r="H240" s="8" t="n">
        <v>37.4</v>
      </c>
    </row>
    <row r="241">
      <c r="A241" s="9" t="n">
        <v>240</v>
      </c>
      <c r="B241" s="9" t="inlineStr">
        <is>
          <t>UI</t>
        </is>
      </c>
      <c r="C241" s="9" t="inlineStr">
        <is>
          <t>실제 창</t>
        </is>
      </c>
      <c r="D241" s="9" t="inlineStr">
        <is>
          <t>RealWindowTests</t>
        </is>
      </c>
      <c r="E241" s="9" t="inlineStr">
        <is>
          <t>LaunchedApplication_ShowsARealWindowThatCanBeCapturedAndClosedCleanly</t>
        </is>
      </c>
      <c r="F241" s="9" t="inlineStr">
        <is>
          <t>UI-R06</t>
        </is>
      </c>
      <c r="G241" s="9" t="inlineStr">
        <is>
          <t>통과</t>
        </is>
      </c>
      <c r="H241" s="9" t="n">
        <v>2239.6</v>
      </c>
    </row>
    <row r="242">
      <c r="A242" s="8" t="n">
        <v>241</v>
      </c>
      <c r="B242" s="8" t="inlineStr">
        <is>
          <t>UI</t>
        </is>
      </c>
      <c r="C242" s="8" t="inlineStr">
        <is>
          <t>실제 창</t>
        </is>
      </c>
      <c r="D242" s="8" t="inlineStr">
        <is>
          <t>RealWindowTests</t>
        </is>
      </c>
      <c r="E242" s="8" t="inlineStr">
        <is>
          <t>ShownWindow_ClosingStopsTheTimerAndWritesStopLog</t>
        </is>
      </c>
      <c r="F242" s="8" t="inlineStr">
        <is>
          <t>UI-R05</t>
        </is>
      </c>
      <c r="G242" s="8" t="inlineStr">
        <is>
          <t>통과</t>
        </is>
      </c>
      <c r="H242" s="8" t="n">
        <v>1488.3</v>
      </c>
    </row>
    <row r="243">
      <c r="A243" s="9" t="n">
        <v>242</v>
      </c>
      <c r="B243" s="9" t="inlineStr">
        <is>
          <t>UI</t>
        </is>
      </c>
      <c r="C243" s="9" t="inlineStr">
        <is>
          <t>실제 창</t>
        </is>
      </c>
      <c r="D243" s="9" t="inlineStr">
        <is>
          <t>RealWindowTests</t>
        </is>
      </c>
      <c r="E243" s="9" t="inlineStr">
        <is>
          <t>ShownWindow_LayoutHoldsAtDefaultAndMinimumSizes</t>
        </is>
      </c>
      <c r="F243" s="9" t="inlineStr">
        <is>
          <t>UI-R04</t>
        </is>
      </c>
      <c r="G243" s="9" t="inlineStr">
        <is>
          <t>통과</t>
        </is>
      </c>
      <c r="H243" s="9" t="n">
        <v>1070.9</v>
      </c>
    </row>
    <row r="244">
      <c r="A244" s="8" t="n">
        <v>243</v>
      </c>
      <c r="B244" s="8" t="inlineStr">
        <is>
          <t>UI</t>
        </is>
      </c>
      <c r="C244" s="8" t="inlineStr">
        <is>
          <t>실제 창</t>
        </is>
      </c>
      <c r="D244" s="8" t="inlineStr">
        <is>
          <t>RealWindowTests</t>
        </is>
      </c>
      <c r="E244" s="8" t="inlineStr">
        <is>
          <t>ShownWindow_RealTimerAdvancesTheMissionClock</t>
        </is>
      </c>
      <c r="F244" s="8" t="inlineStr">
        <is>
          <t>UI-R01</t>
        </is>
      </c>
      <c r="G244" s="8" t="inlineStr">
        <is>
          <t>통과</t>
        </is>
      </c>
      <c r="H244" s="8" t="n">
        <v>1877.7</v>
      </c>
    </row>
    <row r="245">
      <c r="A245" s="9" t="n">
        <v>244</v>
      </c>
      <c r="B245" s="9" t="inlineStr">
        <is>
          <t>UI</t>
        </is>
      </c>
      <c r="C245" s="9" t="inlineStr">
        <is>
          <t>실제 창</t>
        </is>
      </c>
      <c r="D245" s="9" t="inlineStr">
        <is>
          <t>RealWindowTests</t>
        </is>
      </c>
      <c r="E245" s="9" t="inlineStr">
        <is>
          <t>ShownWindow_RealtimeMonitorAndFlashRunByTheirOwnTimers</t>
        </is>
      </c>
      <c r="F245" s="9" t="inlineStr">
        <is>
          <t>UI-R02</t>
        </is>
      </c>
      <c r="G245" s="9" t="inlineStr">
        <is>
          <t>통과</t>
        </is>
      </c>
      <c r="H245" s="9" t="n">
        <v>4065.4</v>
      </c>
    </row>
    <row r="246">
      <c r="A246" s="8" t="n">
        <v>245</v>
      </c>
      <c r="B246" s="8" t="inlineStr">
        <is>
          <t>UI</t>
        </is>
      </c>
      <c r="C246" s="8" t="inlineStr">
        <is>
          <t>실제 창</t>
        </is>
      </c>
      <c r="D246" s="8" t="inlineStr">
        <is>
          <t>RealWindowTests</t>
        </is>
      </c>
      <c r="E246" s="8" t="inlineStr">
        <is>
          <t>ShownWindow_ScreenshotsOfKeyScenarios_ContainWhatTheyShould</t>
        </is>
      </c>
      <c r="F246" s="8" t="inlineStr">
        <is>
          <t>UI-R03</t>
        </is>
      </c>
      <c r="G246" s="8" t="inlineStr">
        <is>
          <t>통과</t>
        </is>
      </c>
      <c r="H246" s="8" t="n">
        <v>5997.7</v>
      </c>
    </row>
    <row r="247">
      <c r="A247" s="9" t="n">
        <v>246</v>
      </c>
      <c r="B247" s="9" t="inlineStr">
        <is>
          <t>UI</t>
        </is>
      </c>
      <c r="C247" s="9" t="inlineStr">
        <is>
          <t>우주선 전환(CM/LM)</t>
        </is>
      </c>
      <c r="D247" s="9" t="inlineStr">
        <is>
          <t>VehicleUiTests</t>
        </is>
      </c>
      <c r="E247" s="9" t="inlineStr">
        <is>
          <t>Caption_AndAltVelLamps_FollowTheVehicleAtUndockingAndDocking</t>
        </is>
      </c>
      <c r="F247" s="9" t="inlineStr">
        <is>
          <t>UI-V01</t>
        </is>
      </c>
      <c r="G247" s="9" t="inlineStr">
        <is>
          <t>통과</t>
        </is>
      </c>
      <c r="H247" s="9" t="n">
        <v>5.5</v>
      </c>
    </row>
    <row r="248">
      <c r="A248" s="8" t="n">
        <v>247</v>
      </c>
      <c r="B248" s="8" t="inlineStr">
        <is>
          <t>UI</t>
        </is>
      </c>
      <c r="C248" s="8" t="inlineStr">
        <is>
          <t>우주선 전환(CM/LM)</t>
        </is>
      </c>
      <c r="D248" s="8" t="inlineStr">
        <is>
          <t>VehicleUiTests</t>
        </is>
      </c>
      <c r="E248" s="8" t="inlineStr">
        <is>
          <t>DescentNouns_AreRejectedOnTheCommandModuleAndAcceptedOnTheLunarModule</t>
        </is>
      </c>
      <c r="F248" s="8" t="inlineStr">
        <is>
          <t>UI-V07</t>
        </is>
      </c>
      <c r="G248" s="8" t="inlineStr">
        <is>
          <t>통과</t>
        </is>
      </c>
      <c r="H248" s="8" t="n">
        <v>11.4</v>
      </c>
    </row>
    <row r="249">
      <c r="A249" s="9" t="n">
        <v>248</v>
      </c>
      <c r="B249" s="9" t="inlineStr">
        <is>
          <t>UI</t>
        </is>
      </c>
      <c r="C249" s="9" t="inlineStr">
        <is>
          <t>우주선 전환(CM/LM)</t>
        </is>
      </c>
      <c r="D249" s="9" t="inlineStr">
        <is>
          <t>VehicleUiTests</t>
        </is>
      </c>
      <c r="E249" s="9" t="inlineStr">
        <is>
          <t>EveryPhase_ShowsTheRightComputerCaptionAndLamps</t>
        </is>
      </c>
      <c r="F249" s="9" t="inlineStr">
        <is>
          <t>UI-V02</t>
        </is>
      </c>
      <c r="G249" s="9" t="inlineStr">
        <is>
          <t>통과</t>
        </is>
      </c>
      <c r="H249" s="9" t="n">
        <v>16.5</v>
      </c>
    </row>
    <row r="250">
      <c r="A250" s="8" t="n">
        <v>249</v>
      </c>
      <c r="B250" s="8" t="inlineStr">
        <is>
          <t>UI</t>
        </is>
      </c>
      <c r="C250" s="8" t="inlineStr">
        <is>
          <t>우주선 전환(CM/LM)</t>
        </is>
      </c>
      <c r="D250" s="8" t="inlineStr">
        <is>
          <t>VehicleUiTests</t>
        </is>
      </c>
      <c r="E250" s="8" t="inlineStr">
        <is>
          <t>LampTest_LightsAltAndVelOnlyOnTheLunarModule</t>
        </is>
      </c>
      <c r="F250" s="8" t="inlineStr">
        <is>
          <t>UI-V03</t>
        </is>
      </c>
      <c r="G250" s="8" t="inlineStr">
        <is>
          <t>통과</t>
        </is>
      </c>
      <c r="H250" s="8" t="n">
        <v>6.8</v>
      </c>
    </row>
    <row r="251">
      <c r="A251" s="9" t="n">
        <v>250</v>
      </c>
      <c r="B251" s="9" t="inlineStr">
        <is>
          <t>UI</t>
        </is>
      </c>
      <c r="C251" s="9" t="inlineStr">
        <is>
          <t>우주선 전환(CM/LM)</t>
        </is>
      </c>
      <c r="D251" s="9" t="inlineStr">
        <is>
          <t>VehicleUiTests</t>
        </is>
      </c>
      <c r="E251" s="9" t="inlineStr">
        <is>
          <t>N62_CommandModuleShowsVelocityAltRateAltitude_LunarModuleShowsIgnitionCountdown</t>
        </is>
      </c>
      <c r="F251" s="9" t="inlineStr">
        <is>
          <t>UI-V06</t>
        </is>
      </c>
      <c r="G251" s="9" t="inlineStr">
        <is>
          <t>통과</t>
        </is>
      </c>
      <c r="H251" s="9" t="n">
        <v>4.7</v>
      </c>
    </row>
    <row r="252">
      <c r="A252" s="8" t="n">
        <v>251</v>
      </c>
      <c r="B252" s="8" t="inlineStr">
        <is>
          <t>UI</t>
        </is>
      </c>
      <c r="C252" s="8" t="inlineStr">
        <is>
          <t>우주선 전환(CM/LM)</t>
        </is>
      </c>
      <c r="D252" s="8" t="inlineStr">
        <is>
          <t>VehicleUiTests</t>
        </is>
      </c>
      <c r="E252" s="8" t="inlineStr">
        <is>
          <t>Panel_CommandModuleDisplay_HidesAltAndVelLampCells</t>
        </is>
      </c>
      <c r="F252" s="8" t="inlineStr">
        <is>
          <t>UI-P15</t>
        </is>
      </c>
      <c r="G252" s="8" t="inlineStr">
        <is>
          <t>통과</t>
        </is>
      </c>
      <c r="H252" s="8" t="n">
        <v>4.1</v>
      </c>
    </row>
    <row r="253">
      <c r="A253" s="9" t="n">
        <v>252</v>
      </c>
      <c r="B253" s="9" t="inlineStr">
        <is>
          <t>UI</t>
        </is>
      </c>
      <c r="C253" s="9" t="inlineStr">
        <is>
          <t>우주선 전환(CM/LM)</t>
        </is>
      </c>
      <c r="D253" s="9" t="inlineStr">
        <is>
          <t>VehicleUiTests</t>
        </is>
      </c>
      <c r="E253" s="9" t="inlineStr">
        <is>
          <t>Panel_LunarModuleDisplay_ShowsAltAndVelAndSwitchesBack</t>
        </is>
      </c>
      <c r="F253" s="9" t="inlineStr">
        <is>
          <t>UI-P16</t>
        </is>
      </c>
      <c r="G253" s="9" t="inlineStr">
        <is>
          <t>통과</t>
        </is>
      </c>
      <c r="H253" s="9" t="n">
        <v>3.4</v>
      </c>
    </row>
    <row r="254">
      <c r="A254" s="8" t="n">
        <v>253</v>
      </c>
      <c r="B254" s="8" t="inlineStr">
        <is>
          <t>UI</t>
        </is>
      </c>
      <c r="C254" s="8" t="inlineStr">
        <is>
          <t>우주선 전환(CM/LM)</t>
        </is>
      </c>
      <c r="D254" s="8" t="inlineStr">
        <is>
          <t>VehicleUiTests</t>
        </is>
      </c>
      <c r="E254" s="8" t="inlineStr">
        <is>
          <t>PowerDescent_ProgramShowsN63MonitorOnItsOwn_AndPlaybackKeepsItUpdated</t>
        </is>
      </c>
      <c r="F254" s="8" t="inlineStr">
        <is>
          <t>UI-V04</t>
        </is>
      </c>
      <c r="G254" s="8" t="inlineStr">
        <is>
          <t>통과</t>
        </is>
      </c>
      <c r="H254" s="8" t="n">
        <v>5.8</v>
      </c>
    </row>
    <row r="255">
      <c r="A255" s="9" t="n">
        <v>254</v>
      </c>
      <c r="B255" s="9" t="inlineStr">
        <is>
          <t>UI</t>
        </is>
      </c>
      <c r="C255" s="9" t="inlineStr">
        <is>
          <t>우주선 전환(CM/LM)</t>
        </is>
      </c>
      <c r="D255" s="9" t="inlineStr">
        <is>
          <t>VehicleUiTests</t>
        </is>
      </c>
      <c r="E255" s="9" t="inlineStr">
        <is>
          <t>ProgramDisplay_ReplacesPreviousProgramDisplay_ButNotTheCrewsOwnCommand</t>
        </is>
      </c>
      <c r="F255" s="9" t="inlineStr">
        <is>
          <t>UI-V05</t>
        </is>
      </c>
      <c r="G255" s="9" t="inlineStr">
        <is>
          <t>통과</t>
        </is>
      </c>
      <c r="H255" s="9" t="n">
        <v>6</v>
      </c>
    </row>
    <row r="256">
      <c r="A256" s="8" t="n">
        <v>255</v>
      </c>
      <c r="B256" s="8" t="inlineStr">
        <is>
          <t>UI</t>
        </is>
      </c>
      <c r="C256" s="8" t="inlineStr">
        <is>
          <t>우주선 전환(CM/LM)</t>
        </is>
      </c>
      <c r="D256" s="8" t="inlineStr">
        <is>
          <t>VehicleUiTests</t>
        </is>
      </c>
      <c r="E256" s="8" t="inlineStr">
        <is>
          <t>WholeDescentAndAscent_PlaybackSwitchesComputersExactlyTwice</t>
        </is>
      </c>
      <c r="F256" s="8" t="inlineStr">
        <is>
          <t>UI-V08</t>
        </is>
      </c>
      <c r="G256" s="8" t="inlineStr">
        <is>
          <t>통과</t>
        </is>
      </c>
      <c r="H256" s="8" t="n">
        <v>13.2</v>
      </c>
    </row>
    <row r="257">
      <c r="A257" s="9" t="n">
        <v>256</v>
      </c>
      <c r="B257" s="9" t="inlineStr">
        <is>
          <t>UI</t>
        </is>
      </c>
      <c r="C257" s="9" t="inlineStr">
        <is>
          <t>천체 렌더러</t>
        </is>
      </c>
      <c r="D257" s="9" t="inlineStr">
        <is>
          <t>PlanetRendererTests</t>
        </is>
      </c>
      <c r="E257" s="9" t="inlineStr">
        <is>
          <t>Earth_CloudShift_ChangesTheCloudLayerOnly</t>
        </is>
      </c>
      <c r="F257" s="9" t="inlineStr">
        <is>
          <t>UI-G07</t>
        </is>
      </c>
      <c r="G257" s="9" t="inlineStr">
        <is>
          <t>통과</t>
        </is>
      </c>
      <c r="H257" s="9" t="n">
        <v>8.6</v>
      </c>
    </row>
    <row r="258">
      <c r="A258" s="8" t="n">
        <v>257</v>
      </c>
      <c r="B258" s="8" t="inlineStr">
        <is>
          <t>UI</t>
        </is>
      </c>
      <c r="C258" s="8" t="inlineStr">
        <is>
          <t>천체 렌더러</t>
        </is>
      </c>
      <c r="D258" s="8" t="inlineStr">
        <is>
          <t>PlanetRendererTests</t>
        </is>
      </c>
      <c r="E258" s="8" t="inlineStr">
        <is>
          <t>Earth_HasAtmosphericGlowOutsideTheDisc_ButCornersAreTransparent</t>
        </is>
      </c>
      <c r="F258" s="8" t="inlineStr">
        <is>
          <t>UI-G04</t>
        </is>
      </c>
      <c r="G258" s="8" t="inlineStr">
        <is>
          <t>통과</t>
        </is>
      </c>
      <c r="H258" s="8" t="n">
        <v>4.3</v>
      </c>
    </row>
    <row r="259">
      <c r="A259" s="9" t="n">
        <v>258</v>
      </c>
      <c r="B259" s="9" t="inlineStr">
        <is>
          <t>UI</t>
        </is>
      </c>
      <c r="C259" s="9" t="inlineStr">
        <is>
          <t>천체 렌더러</t>
        </is>
      </c>
      <c r="D259" s="9" t="inlineStr">
        <is>
          <t>PlanetRendererTests</t>
        </is>
      </c>
      <c r="E259" s="9" t="inlineStr">
        <is>
          <t>Earth_SunlitSide_IsBrighterThanNightSide_AndOceanIsBlue</t>
        </is>
      </c>
      <c r="F259" s="9" t="inlineStr">
        <is>
          <t>UI-G03</t>
        </is>
      </c>
      <c r="G259" s="9" t="inlineStr">
        <is>
          <t>통과</t>
        </is>
      </c>
      <c r="H259" s="9" t="n">
        <v>4.7</v>
      </c>
    </row>
    <row r="260">
      <c r="A260" s="8" t="n">
        <v>259</v>
      </c>
      <c r="B260" s="8" t="inlineStr">
        <is>
          <t>UI</t>
        </is>
      </c>
      <c r="C260" s="8" t="inlineStr">
        <is>
          <t>천체 렌더러</t>
        </is>
      </c>
      <c r="D260" s="8" t="inlineStr">
        <is>
          <t>PlanetRendererTests</t>
        </is>
      </c>
      <c r="E260" s="8" t="inlineStr">
        <is>
          <t>Moon_IsGrayAndHasNoAtmosphereGlow</t>
        </is>
      </c>
      <c r="F260" s="8" t="inlineStr">
        <is>
          <t>UI-G05</t>
        </is>
      </c>
      <c r="G260" s="8" t="inlineStr">
        <is>
          <t>통과</t>
        </is>
      </c>
      <c r="H260" s="8" t="n">
        <v>3.2</v>
      </c>
    </row>
    <row r="261">
      <c r="A261" s="9" t="n">
        <v>260</v>
      </c>
      <c r="B261" s="9" t="inlineStr">
        <is>
          <t>UI</t>
        </is>
      </c>
      <c r="C261" s="9" t="inlineStr">
        <is>
          <t>천체 렌더러</t>
        </is>
      </c>
      <c r="D261" s="9" t="inlineStr">
        <is>
          <t>PlanetRendererTests</t>
        </is>
      </c>
      <c r="E261" s="9" t="inlineStr">
        <is>
          <t>Moon_NearSideCenterIsDarkMariaCompareToFarSide_AndRotationChangesTheImage</t>
        </is>
      </c>
      <c r="F261" s="9" t="inlineStr">
        <is>
          <t>UI-G06</t>
        </is>
      </c>
      <c r="G261" s="9" t="inlineStr">
        <is>
          <t>통과</t>
        </is>
      </c>
      <c r="H261" s="9" t="n">
        <v>10.2</v>
      </c>
    </row>
    <row r="262">
      <c r="A262" s="8" t="n">
        <v>261</v>
      </c>
      <c r="B262" s="8" t="inlineStr">
        <is>
          <t>UI</t>
        </is>
      </c>
      <c r="C262" s="8" t="inlineStr">
        <is>
          <t>천체 렌더러</t>
        </is>
      </c>
      <c r="D262" s="8" t="inlineStr">
        <is>
          <t>PlanetRendererTests</t>
        </is>
      </c>
      <c r="E262" s="8" t="inlineStr">
        <is>
          <t>Render_IsDeterministic</t>
        </is>
      </c>
      <c r="F262" s="8" t="inlineStr">
        <is>
          <t>UI-G08</t>
        </is>
      </c>
      <c r="G262" s="8" t="inlineStr">
        <is>
          <t>통과</t>
        </is>
      </c>
      <c r="H262" s="8" t="n">
        <v>6.7</v>
      </c>
    </row>
    <row r="263">
      <c r="A263" s="9" t="n">
        <v>262</v>
      </c>
      <c r="B263" s="9" t="inlineStr">
        <is>
          <t>UI</t>
        </is>
      </c>
      <c r="C263" s="9" t="inlineStr">
        <is>
          <t>천체 렌더러</t>
        </is>
      </c>
      <c r="D263" s="9" t="inlineStr">
        <is>
          <t>PlanetRendererTests</t>
        </is>
      </c>
      <c r="E263" s="9" t="inlineStr">
        <is>
          <t>Render_IsFastEnoughForInteractiveUse</t>
        </is>
      </c>
      <c r="F263" s="9" t="inlineStr">
        <is>
          <t>UI-G09</t>
        </is>
      </c>
      <c r="G263" s="9" t="inlineStr">
        <is>
          <t>통과</t>
        </is>
      </c>
      <c r="H263" s="9" t="n">
        <v>12.5</v>
      </c>
    </row>
    <row r="264">
      <c r="A264" s="8" t="n">
        <v>263</v>
      </c>
      <c r="B264" s="8" t="inlineStr">
        <is>
          <t>UI</t>
        </is>
      </c>
      <c r="C264" s="8" t="inlineStr">
        <is>
          <t>천체 렌더러</t>
        </is>
      </c>
      <c r="D264" s="8" t="inlineStr">
        <is>
          <t>PlanetRendererTests</t>
        </is>
      </c>
      <c r="E264" s="8" t="inlineStr">
        <is>
          <t>Render_ReturnsSquareFrameLargerThanTheDisc_AndIsFrozen</t>
        </is>
      </c>
      <c r="F264" s="8" t="inlineStr">
        <is>
          <t>UI-G02</t>
        </is>
      </c>
      <c r="G264" s="8" t="inlineStr">
        <is>
          <t>통과</t>
        </is>
      </c>
      <c r="H264" s="8" t="n">
        <v>5.7</v>
      </c>
    </row>
    <row r="265">
      <c r="A265" s="9" t="n">
        <v>264</v>
      </c>
      <c r="B265" s="9" t="inlineStr">
        <is>
          <t>UI</t>
        </is>
      </c>
      <c r="C265" s="9" t="inlineStr">
        <is>
          <t>천체 렌더러</t>
        </is>
      </c>
      <c r="D265" s="9" t="inlineStr">
        <is>
          <t>PlanetRendererTests</t>
        </is>
      </c>
      <c r="E265" s="9" t="inlineStr">
        <is>
          <t>SampleRenders_AreSavedAsPngForVisualReview</t>
        </is>
      </c>
      <c r="F265" s="9" t="inlineStr">
        <is>
          <t>UI-G10</t>
        </is>
      </c>
      <c r="G265" s="9" t="inlineStr">
        <is>
          <t>통과</t>
        </is>
      </c>
      <c r="H265" s="9" t="n">
        <v>61</v>
      </c>
    </row>
    <row r="266">
      <c r="A266" s="8" t="n">
        <v>265</v>
      </c>
      <c r="B266" s="8" t="inlineStr">
        <is>
          <t>UI</t>
        </is>
      </c>
      <c r="C266" s="8" t="inlineStr">
        <is>
          <t>천체 렌더러</t>
        </is>
      </c>
      <c r="D266" s="8" t="inlineStr">
        <is>
          <t>PlanetRendererTests</t>
        </is>
      </c>
      <c r="E266" s="8" t="inlineStr">
        <is>
          <t>Textures_AreLoadedFromEmbeddedResources</t>
        </is>
      </c>
      <c r="F266" s="8" t="inlineStr">
        <is>
          <t>UI-G01</t>
        </is>
      </c>
      <c r="G266" s="8" t="inlineStr">
        <is>
          <t>통과</t>
        </is>
      </c>
      <c r="H266" s="8" t="n">
        <v>11.4</v>
      </c>
    </row>
    <row r="267">
      <c r="A267" s="9" t="n">
        <v>266</v>
      </c>
      <c r="B267" s="9" t="inlineStr">
        <is>
          <t>UI</t>
        </is>
      </c>
      <c r="C267" s="9" t="inlineStr">
        <is>
          <t>미션 장면</t>
        </is>
      </c>
      <c r="D267" s="9" t="inlineStr">
        <is>
          <t>SceneRenderingTests</t>
        </is>
      </c>
      <c r="E267" s="9" t="inlineStr">
        <is>
          <t>Captions_DescribeTheStageOfTheLaunchVehicle</t>
        </is>
      </c>
      <c r="F267" s="9" t="inlineStr">
        <is>
          <t>UI-G23</t>
        </is>
      </c>
      <c r="G267" s="9" t="inlineStr">
        <is>
          <t>통과</t>
        </is>
      </c>
      <c r="H267" s="9" t="n">
        <v>0.1</v>
      </c>
    </row>
    <row r="268">
      <c r="A268" s="8" t="n">
        <v>267</v>
      </c>
      <c r="B268" s="8" t="inlineStr">
        <is>
          <t>UI</t>
        </is>
      </c>
      <c r="C268" s="8" t="inlineStr">
        <is>
          <t>미션 장면</t>
        </is>
      </c>
      <c r="D268" s="8" t="inlineStr">
        <is>
          <t>SceneRenderingTests</t>
        </is>
      </c>
      <c r="E268" s="8" t="inlineStr">
        <is>
          <t>Context_EngineIsOnOnlyDuringBurns</t>
        </is>
      </c>
      <c r="F268" s="8" t="inlineStr">
        <is>
          <t>UI-G21</t>
        </is>
      </c>
      <c r="G268" s="8" t="inlineStr">
        <is>
          <t>통과</t>
        </is>
      </c>
      <c r="H268" s="8" t="n">
        <v>0.5</v>
      </c>
    </row>
    <row r="269">
      <c r="A269" s="9" t="n">
        <v>268</v>
      </c>
      <c r="B269" s="9" t="inlineStr">
        <is>
          <t>UI</t>
        </is>
      </c>
      <c r="C269" s="9" t="inlineStr">
        <is>
          <t>미션 장면</t>
        </is>
      </c>
      <c r="D269" s="9" t="inlineStr">
        <is>
          <t>SceneRenderingTests</t>
        </is>
      </c>
      <c r="E269" s="9" t="inlineStr">
        <is>
          <t>Context_JourneyFractionGoesFromEarthToMoonAndBack</t>
        </is>
      </c>
      <c r="F269" s="9" t="inlineStr">
        <is>
          <t>UI-G22</t>
        </is>
      </c>
      <c r="G269" s="9" t="inlineStr">
        <is>
          <t>통과</t>
        </is>
      </c>
      <c r="H269" s="9" t="n">
        <v>0.1</v>
      </c>
    </row>
    <row r="270">
      <c r="A270" s="8" t="n">
        <v>269</v>
      </c>
      <c r="B270" s="8" t="inlineStr">
        <is>
          <t>UI</t>
        </is>
      </c>
      <c r="C270" s="8" t="inlineStr">
        <is>
          <t>미션 장면</t>
        </is>
      </c>
      <c r="D270" s="8" t="inlineStr">
        <is>
          <t>SceneRenderingTests</t>
        </is>
      </c>
      <c r="E270" s="8" t="inlineStr">
        <is>
          <t>Descent_ShowsGrayLunarGroundAndTheLunarModule</t>
        </is>
      </c>
      <c r="F270" s="8" t="inlineStr">
        <is>
          <t>UI-G28</t>
        </is>
      </c>
      <c r="G270" s="8" t="inlineStr">
        <is>
          <t>통과</t>
        </is>
      </c>
      <c r="H270" s="8" t="n">
        <v>18.3</v>
      </c>
    </row>
    <row r="271">
      <c r="A271" s="9" t="n">
        <v>270</v>
      </c>
      <c r="B271" s="9" t="inlineStr">
        <is>
          <t>UI</t>
        </is>
      </c>
      <c r="C271" s="9" t="inlineStr">
        <is>
          <t>미션 장면</t>
        </is>
      </c>
      <c r="D271" s="9" t="inlineStr">
        <is>
          <t>SceneRenderingTests</t>
        </is>
      </c>
      <c r="E271" s="9" t="inlineStr">
        <is>
          <t>EarthOrbit_ShowsALargeBlueEarth</t>
        </is>
      </c>
      <c r="F271" s="9" t="inlineStr">
        <is>
          <t>UI-G26</t>
        </is>
      </c>
      <c r="G271" s="9" t="inlineStr">
        <is>
          <t>통과</t>
        </is>
      </c>
      <c r="H271" s="9" t="n">
        <v>20.9</v>
      </c>
    </row>
    <row r="272">
      <c r="A272" s="8" t="n">
        <v>271</v>
      </c>
      <c r="B272" s="8" t="inlineStr">
        <is>
          <t>UI</t>
        </is>
      </c>
      <c r="C272" s="8" t="inlineStr">
        <is>
          <t>미션 장면</t>
        </is>
      </c>
      <c r="D272" s="8" t="inlineStr">
        <is>
          <t>SceneRenderingTests</t>
        </is>
      </c>
      <c r="E272" s="8" t="inlineStr">
        <is>
          <t>Entry_ShowsGlowingPlasma_StrongerAtPeakHeating</t>
        </is>
      </c>
      <c r="F272" s="8" t="inlineStr">
        <is>
          <t>UI-G30</t>
        </is>
      </c>
      <c r="G272" s="8" t="inlineStr">
        <is>
          <t>통과</t>
        </is>
      </c>
      <c r="H272" s="8" t="n">
        <v>31.4</v>
      </c>
    </row>
    <row r="273">
      <c r="A273" s="9" t="n">
        <v>272</v>
      </c>
      <c r="B273" s="9" t="inlineStr">
        <is>
          <t>UI</t>
        </is>
      </c>
      <c r="C273" s="9" t="inlineStr">
        <is>
          <t>미션 장면</t>
        </is>
      </c>
      <c r="D273" s="9" t="inlineStr">
        <is>
          <t>SceneRenderingTests</t>
        </is>
      </c>
      <c r="E273" s="9" t="inlineStr">
        <is>
          <t>EveryKeyframe_HasASceneThatMatchesItsPhase</t>
        </is>
      </c>
      <c r="F273" s="9" t="inlineStr">
        <is>
          <t>UI-G20</t>
        </is>
      </c>
      <c r="G273" s="9" t="inlineStr">
        <is>
          <t>통과</t>
        </is>
      </c>
      <c r="H273" s="9" t="n">
        <v>2.8</v>
      </c>
    </row>
    <row r="274">
      <c r="A274" s="8" t="n">
        <v>273</v>
      </c>
      <c r="B274" s="8" t="inlineStr">
        <is>
          <t>UI</t>
        </is>
      </c>
      <c r="C274" s="8" t="inlineStr">
        <is>
          <t>미션 장면</t>
        </is>
      </c>
      <c r="D274" s="8" t="inlineStr">
        <is>
          <t>SceneRenderingTests</t>
        </is>
      </c>
      <c r="E274" s="8" t="inlineStr">
        <is>
          <t>EveryPhase_RendersANonBlankScene_AndSavesAScreenshot</t>
        </is>
      </c>
      <c r="F274" s="8" t="inlineStr">
        <is>
          <t>UI-G24</t>
        </is>
      </c>
      <c r="G274" s="8" t="inlineStr">
        <is>
          <t>통과</t>
        </is>
      </c>
      <c r="H274" s="8" t="n">
        <v>891.6</v>
      </c>
    </row>
    <row r="275">
      <c r="A275" s="9" t="n">
        <v>274</v>
      </c>
      <c r="B275" s="9" t="inlineStr">
        <is>
          <t>UI</t>
        </is>
      </c>
      <c r="C275" s="9" t="inlineStr">
        <is>
          <t>미션 장면</t>
        </is>
      </c>
      <c r="D275" s="9" t="inlineStr">
        <is>
          <t>SceneRenderingTests</t>
        </is>
      </c>
      <c r="E275" s="9" t="inlineStr">
        <is>
          <t>EveryScene_RendersFastEnoughForAnimation</t>
        </is>
      </c>
      <c r="F275" s="9" t="inlineStr">
        <is>
          <t>UI-G33</t>
        </is>
      </c>
      <c r="G275" s="9" t="inlineStr">
        <is>
          <t>통과</t>
        </is>
      </c>
      <c r="H275" s="9" t="n">
        <v>483</v>
      </c>
    </row>
    <row r="276">
      <c r="A276" s="8" t="n">
        <v>275</v>
      </c>
      <c r="B276" s="8" t="inlineStr">
        <is>
          <t>UI</t>
        </is>
      </c>
      <c r="C276" s="8" t="inlineStr">
        <is>
          <t>미션 장면</t>
        </is>
      </c>
      <c r="D276" s="8" t="inlineStr">
        <is>
          <t>SceneRenderingTests</t>
        </is>
      </c>
      <c r="E276" s="8" t="inlineStr">
        <is>
          <t>Journey_ShowsBothEarthAndMoon_AndTheSpacecraftMovesAlongTheTrajectory</t>
        </is>
      </c>
      <c r="F276" s="8" t="inlineStr">
        <is>
          <t>UI-G27</t>
        </is>
      </c>
      <c r="G276" s="8" t="inlineStr">
        <is>
          <t>통과</t>
        </is>
      </c>
      <c r="H276" s="8" t="n">
        <v>38.7</v>
      </c>
    </row>
    <row r="277">
      <c r="A277" s="9" t="n">
        <v>276</v>
      </c>
      <c r="B277" s="9" t="inlineStr">
        <is>
          <t>UI</t>
        </is>
      </c>
      <c r="C277" s="9" t="inlineStr">
        <is>
          <t>미션 장면</t>
        </is>
      </c>
      <c r="D277" s="9" t="inlineStr">
        <is>
          <t>SceneRenderingTests</t>
        </is>
      </c>
      <c r="E277" s="9" t="inlineStr">
        <is>
          <t>Launch_ShowsOrangeExhaustAndABlueSkyNearTheGround</t>
        </is>
      </c>
      <c r="F277" s="9" t="inlineStr">
        <is>
          <t>UI-G25</t>
        </is>
      </c>
      <c r="G277" s="9" t="inlineStr">
        <is>
          <t>통과</t>
        </is>
      </c>
      <c r="H277" s="9" t="n">
        <v>14</v>
      </c>
    </row>
    <row r="278">
      <c r="A278" s="8" t="n">
        <v>277</v>
      </c>
      <c r="B278" s="8" t="inlineStr">
        <is>
          <t>UI</t>
        </is>
      </c>
      <c r="C278" s="8" t="inlineStr">
        <is>
          <t>미션 장면</t>
        </is>
      </c>
      <c r="D278" s="8" t="inlineStr">
        <is>
          <t>SceneRenderingTests</t>
        </is>
      </c>
      <c r="E278" s="8" t="inlineStr">
        <is>
          <t>Scene_IsDeterministicForTheSameStateAndTime</t>
        </is>
      </c>
      <c r="F278" s="8" t="inlineStr">
        <is>
          <t>UI-G32</t>
        </is>
      </c>
      <c r="G278" s="8" t="inlineStr">
        <is>
          <t>통과</t>
        </is>
      </c>
      <c r="H278" s="8" t="n">
        <v>12</v>
      </c>
    </row>
    <row r="279">
      <c r="A279" s="9" t="n">
        <v>278</v>
      </c>
      <c r="B279" s="9" t="inlineStr">
        <is>
          <t>UI</t>
        </is>
      </c>
      <c r="C279" s="9" t="inlineStr">
        <is>
          <t>미션 장면</t>
        </is>
      </c>
      <c r="D279" s="9" t="inlineStr">
        <is>
          <t>SceneRenderingTests</t>
        </is>
      </c>
      <c r="E279" s="9" t="inlineStr">
        <is>
          <t>Splashdown_ShowsOceanAndParachutesAboveAndFloatingCapsuleAtTheEnd</t>
        </is>
      </c>
      <c r="F279" s="9" t="inlineStr">
        <is>
          <t>UI-G31</t>
        </is>
      </c>
      <c r="G279" s="9" t="inlineStr">
        <is>
          <t>통과</t>
        </is>
      </c>
      <c r="H279" s="9" t="n">
        <v>24</v>
      </c>
    </row>
    <row r="280">
      <c r="A280" s="8" t="n">
        <v>279</v>
      </c>
      <c r="B280" s="8" t="inlineStr">
        <is>
          <t>UI</t>
        </is>
      </c>
      <c r="C280" s="8" t="inlineStr">
        <is>
          <t>미션 장면</t>
        </is>
      </c>
      <c r="D280" s="8" t="inlineStr">
        <is>
          <t>SceneRenderingTests</t>
        </is>
      </c>
      <c r="E280" s="8" t="inlineStr">
        <is>
          <t>Surface_BeforeAndAfterEva_ShowsFlagOnlyAfterEva</t>
        </is>
      </c>
      <c r="F280" s="8" t="inlineStr">
        <is>
          <t>UI-G29</t>
        </is>
      </c>
      <c r="G280" s="8" t="inlineStr">
        <is>
          <t>통과</t>
        </is>
      </c>
      <c r="H280" s="8" t="n">
        <v>21.7</v>
      </c>
    </row>
    <row r="281">
      <c r="A281" s="9" t="n">
        <v>280</v>
      </c>
      <c r="B281" s="9" t="inlineStr">
        <is>
          <t>UI</t>
        </is>
      </c>
      <c r="C281" s="9" t="inlineStr">
        <is>
          <t>단계 가이드 패널</t>
        </is>
      </c>
      <c r="D281" s="9" t="inlineStr">
        <is>
          <t>GuidePanelUiTests</t>
        </is>
      </c>
      <c r="E281" s="9" t="inlineStr">
        <is>
          <t>EveryPhase_ShowsItsGuide_WithSummaryRoleAndAllSteps</t>
        </is>
      </c>
      <c r="F281" s="9" t="inlineStr">
        <is>
          <t>UI-U01</t>
        </is>
      </c>
      <c r="G281" s="9" t="inlineStr">
        <is>
          <t>통과</t>
        </is>
      </c>
      <c r="H281" s="9" t="n">
        <v>65.59999999999999</v>
      </c>
    </row>
    <row r="282">
      <c r="A282" s="8" t="n">
        <v>281</v>
      </c>
      <c r="B282" s="8" t="inlineStr">
        <is>
          <t>UI</t>
        </is>
      </c>
      <c r="C282" s="8" t="inlineStr">
        <is>
          <t>단계 가이드 패널</t>
        </is>
      </c>
      <c r="D282" s="8" t="inlineStr">
        <is>
          <t>GuidePanelUiTests</t>
        </is>
      </c>
      <c r="E282" s="8" t="inlineStr">
        <is>
          <t>EveryStep_ShowsActionPurposeAndEffect</t>
        </is>
      </c>
      <c r="F282" s="8" t="inlineStr">
        <is>
          <t>UI-U02</t>
        </is>
      </c>
      <c r="G282" s="8" t="inlineStr">
        <is>
          <t>통과</t>
        </is>
      </c>
      <c r="H282" s="8" t="n">
        <v>40.2</v>
      </c>
    </row>
    <row r="283">
      <c r="A283" s="9" t="n">
        <v>282</v>
      </c>
      <c r="B283" s="9" t="inlineStr">
        <is>
          <t>UI</t>
        </is>
      </c>
      <c r="C283" s="9" t="inlineStr">
        <is>
          <t>단계 가이드 패널</t>
        </is>
      </c>
      <c r="D283" s="9" t="inlineStr">
        <is>
          <t>GuidePanelUiTests</t>
        </is>
      </c>
      <c r="E283" s="9" t="inlineStr">
        <is>
          <t>GuideCanBeScrolled_AndStartsAtTheTopWhenThePhaseChanges</t>
        </is>
      </c>
      <c r="F283" s="9" t="inlineStr">
        <is>
          <t>UI-U09</t>
        </is>
      </c>
      <c r="G283" s="9" t="inlineStr">
        <is>
          <t>통과</t>
        </is>
      </c>
      <c r="H283" s="9" t="n">
        <v>1001.4</v>
      </c>
    </row>
    <row r="284">
      <c r="A284" s="8" t="n">
        <v>283</v>
      </c>
      <c r="B284" s="8" t="inlineStr">
        <is>
          <t>UI</t>
        </is>
      </c>
      <c r="C284" s="8" t="inlineStr">
        <is>
          <t>단계 가이드 패널</t>
        </is>
      </c>
      <c r="D284" s="8" t="inlineStr">
        <is>
          <t>GuidePanelUiTests</t>
        </is>
      </c>
      <c r="E284" s="8" t="inlineStr">
        <is>
          <t>Guide_IsRebuiltOnlyWhenThePhaseChanges_NotEveryTick</t>
        </is>
      </c>
      <c r="F284" s="8" t="inlineStr">
        <is>
          <t>UI-U06</t>
        </is>
      </c>
      <c r="G284" s="8" t="inlineStr">
        <is>
          <t>통과</t>
        </is>
      </c>
      <c r="H284" s="8" t="n">
        <v>16.8</v>
      </c>
    </row>
    <row r="285">
      <c r="A285" s="9" t="n">
        <v>284</v>
      </c>
      <c r="B285" s="9" t="inlineStr">
        <is>
          <t>UI</t>
        </is>
      </c>
      <c r="C285" s="9" t="inlineStr">
        <is>
          <t>단계 가이드 패널</t>
        </is>
      </c>
      <c r="D285" s="9" t="inlineStr">
        <is>
          <t>GuidePanelUiTests</t>
        </is>
      </c>
      <c r="E285" s="9" t="inlineStr">
        <is>
          <t>Layout_GuideSitsBelowTheScene_InTheRightHalf_AndKeepsItsMinimumSizes</t>
        </is>
      </c>
      <c r="F285" s="9" t="inlineStr">
        <is>
          <t>UI-U08</t>
        </is>
      </c>
      <c r="G285" s="9" t="inlineStr">
        <is>
          <t>통과</t>
        </is>
      </c>
      <c r="H285" s="9" t="n">
        <v>1374.7</v>
      </c>
    </row>
    <row r="286">
      <c r="A286" s="8" t="n">
        <v>285</v>
      </c>
      <c r="B286" s="8" t="inlineStr">
        <is>
          <t>UI</t>
        </is>
      </c>
      <c r="C286" s="8" t="inlineStr">
        <is>
          <t>단계 가이드 패널</t>
        </is>
      </c>
      <c r="D286" s="8" t="inlineStr">
        <is>
          <t>GuidePanelUiTests</t>
        </is>
      </c>
      <c r="E286" s="8" t="inlineStr">
        <is>
          <t>PoweredDescentGuide_ExplainsTheProgramAlarms</t>
        </is>
      </c>
      <c r="F286" s="8" t="inlineStr">
        <is>
          <t>UI-U07</t>
        </is>
      </c>
      <c r="G286" s="8" t="inlineStr">
        <is>
          <t>통과</t>
        </is>
      </c>
      <c r="H286" s="8" t="n">
        <v>9.6</v>
      </c>
    </row>
    <row r="287">
      <c r="A287" s="9" t="n">
        <v>286</v>
      </c>
      <c r="B287" s="9" t="inlineStr">
        <is>
          <t>UI</t>
        </is>
      </c>
      <c r="C287" s="9" t="inlineStr">
        <is>
          <t>단계 가이드 패널</t>
        </is>
      </c>
      <c r="D287" s="9" t="inlineStr">
        <is>
          <t>GuidePanelUiTests</t>
        </is>
      </c>
      <c r="E287" s="9" t="inlineStr">
        <is>
          <t>RunButton_OfTheN63Step_ShowsTheDescentMonitorOnTheDsky</t>
        </is>
      </c>
      <c r="F287" s="9" t="inlineStr">
        <is>
          <t>UI-U05</t>
        </is>
      </c>
      <c r="G287" s="9" t="inlineStr">
        <is>
          <t>통과</t>
        </is>
      </c>
      <c r="H287" s="9" t="n">
        <v>7.4</v>
      </c>
    </row>
    <row r="288">
      <c r="A288" s="8" t="n">
        <v>287</v>
      </c>
      <c r="B288" s="8" t="inlineStr">
        <is>
          <t>UI</t>
        </is>
      </c>
      <c r="C288" s="8" t="inlineStr">
        <is>
          <t>단계 가이드 패널</t>
        </is>
      </c>
      <c r="D288" s="8" t="inlineStr">
        <is>
          <t>GuidePanelUiTests</t>
        </is>
      </c>
      <c r="E288" s="8" t="inlineStr">
        <is>
          <t>RunButton_PressesTheKeysOnTheDsky_ForEveryRunnableStepWithoutError</t>
        </is>
      </c>
      <c r="F288" s="8" t="inlineStr">
        <is>
          <t>UI-U04</t>
        </is>
      </c>
      <c r="G288" s="8" t="inlineStr">
        <is>
          <t>통과</t>
        </is>
      </c>
      <c r="H288" s="8" t="n">
        <v>35.9</v>
      </c>
    </row>
    <row r="289">
      <c r="A289" s="9" t="n">
        <v>288</v>
      </c>
      <c r="B289" s="9" t="inlineStr">
        <is>
          <t>UI</t>
        </is>
      </c>
      <c r="C289" s="9" t="inlineStr">
        <is>
          <t>단계 가이드 패널</t>
        </is>
      </c>
      <c r="D289" s="9" t="inlineStr">
        <is>
          <t>GuidePanelUiTests</t>
        </is>
      </c>
      <c r="E289" s="9" t="inlineStr">
        <is>
          <t>RunButtons_ExistExactlyForRunnableSteps_AndOthersSayUnsupported</t>
        </is>
      </c>
      <c r="F289" s="9" t="inlineStr">
        <is>
          <t>UI-U03</t>
        </is>
      </c>
      <c r="G289" s="9" t="inlineStr">
        <is>
          <t>통과</t>
        </is>
      </c>
      <c r="H289" s="9" t="n">
        <v>42.2</v>
      </c>
    </row>
    <row r="290">
      <c r="A290" s="8" t="n">
        <v>289</v>
      </c>
      <c r="B290" s="8" t="inlineStr">
        <is>
          <t>단위/연동</t>
        </is>
      </c>
      <c r="C290" s="8" t="inlineStr">
        <is>
          <t>단계 가이드 데이터</t>
        </is>
      </c>
      <c r="D290" s="8" t="inlineStr">
        <is>
          <t>PhaseGuideTests</t>
        </is>
      </c>
      <c r="E290" s="8" t="inlineStr">
        <is>
          <t>DskyKeys_UseOnlyTheKnownNotation_AndNonDskyStepsHaveNoKeys</t>
        </is>
      </c>
      <c r="F290" s="8" t="inlineStr"/>
      <c r="G290" s="8" t="inlineStr">
        <is>
          <t>통과</t>
        </is>
      </c>
      <c r="H290" s="8" t="n">
        <v>4.5</v>
      </c>
    </row>
    <row r="291">
      <c r="A291" s="9" t="n">
        <v>290</v>
      </c>
      <c r="B291" s="9" t="inlineStr">
        <is>
          <t>단위/연동</t>
        </is>
      </c>
      <c r="C291" s="9" t="inlineStr">
        <is>
          <t>단계 가이드 데이터</t>
        </is>
      </c>
      <c r="D291" s="9" t="inlineStr">
        <is>
          <t>PhaseGuideTests</t>
        </is>
      </c>
      <c r="E291" s="9" t="inlineStr">
        <is>
          <t>EveryGuide_HasSummaryRoleStepsAndReference</t>
        </is>
      </c>
      <c r="F291" s="9" t="inlineStr"/>
      <c r="G291" s="9" t="inlineStr">
        <is>
          <t>통과</t>
        </is>
      </c>
      <c r="H291" s="9" t="n">
        <v>4.7</v>
      </c>
    </row>
    <row r="292">
      <c r="A292" s="8" t="n">
        <v>291</v>
      </c>
      <c r="B292" s="8" t="inlineStr">
        <is>
          <t>단위/연동</t>
        </is>
      </c>
      <c r="C292" s="8" t="inlineStr">
        <is>
          <t>단계 가이드 데이터</t>
        </is>
      </c>
      <c r="D292" s="8" t="inlineStr">
        <is>
          <t>PhaseGuideTests</t>
        </is>
      </c>
      <c r="E292" s="8" t="inlineStr">
        <is>
          <t>EveryKeyframe_HasExactlyOneGuide_AndNoGuideIsOrphaned</t>
        </is>
      </c>
      <c r="F292" s="8" t="inlineStr"/>
      <c r="G292" s="8" t="inlineStr">
        <is>
          <t>통과</t>
        </is>
      </c>
      <c r="H292" s="8" t="n">
        <v>4.6</v>
      </c>
    </row>
    <row r="293">
      <c r="A293" s="9" t="n">
        <v>292</v>
      </c>
      <c r="B293" s="9" t="inlineStr">
        <is>
          <t>단위/연동</t>
        </is>
      </c>
      <c r="C293" s="9" t="inlineStr">
        <is>
          <t>단계 가이드 데이터</t>
        </is>
      </c>
      <c r="D293" s="9" t="inlineStr">
        <is>
          <t>PhaseGuideTests</t>
        </is>
      </c>
      <c r="E293" s="9" t="inlineStr">
        <is>
          <t>EveryStep_ExplainsActionPurposeAndEffect</t>
        </is>
      </c>
      <c r="F293" s="9" t="inlineStr"/>
      <c r="G293" s="9" t="inlineStr">
        <is>
          <t>통과</t>
        </is>
      </c>
      <c r="H293" s="9" t="n">
        <v>3.8</v>
      </c>
    </row>
    <row r="294">
      <c r="A294" s="8" t="n">
        <v>293</v>
      </c>
      <c r="B294" s="8" t="inlineStr">
        <is>
          <t>단위/연동</t>
        </is>
      </c>
      <c r="C294" s="8" t="inlineStr">
        <is>
          <t>단계 가이드 데이터</t>
        </is>
      </c>
      <c r="D294" s="8" t="inlineStr">
        <is>
          <t>PhaseGuideTests</t>
        </is>
      </c>
      <c r="E294" s="8" t="inlineStr">
        <is>
          <t>NonRunnableDskySteps_AreNotAlsoMarkedConfirmedWithoutASource</t>
        </is>
      </c>
      <c r="F294" s="8" t="inlineStr"/>
      <c r="G294" s="8" t="inlineStr">
        <is>
          <t>통과</t>
        </is>
      </c>
      <c r="H294" s="8" t="n">
        <v>4</v>
      </c>
    </row>
    <row r="295">
      <c r="A295" s="9" t="n">
        <v>294</v>
      </c>
      <c r="B295" s="9" t="inlineStr">
        <is>
          <t>단위/연동</t>
        </is>
      </c>
      <c r="C295" s="9" t="inlineStr">
        <is>
          <t>단계 가이드 데이터</t>
        </is>
      </c>
      <c r="D295" s="9" t="inlineStr">
        <is>
          <t>PhaseGuideTests</t>
        </is>
      </c>
      <c r="E295" s="9" t="inlineStr">
        <is>
          <t>RunnableSteps_ExecuteWithoutOperatorErrorAtTheirPhase</t>
        </is>
      </c>
      <c r="F295" s="9" t="inlineStr"/>
      <c r="G295" s="9" t="inlineStr">
        <is>
          <t>통과</t>
        </is>
      </c>
      <c r="H295" s="9" t="n">
        <v>4.9</v>
      </c>
    </row>
    <row r="296">
      <c r="A296" s="8" t="n">
        <v>295</v>
      </c>
      <c r="B296" s="8" t="inlineStr">
        <is>
          <t>단위/연동</t>
        </is>
      </c>
      <c r="C296" s="8" t="inlineStr">
        <is>
          <t>단계 가이드 데이터</t>
        </is>
      </c>
      <c r="D296" s="8" t="inlineStr">
        <is>
          <t>PhaseGuideTests</t>
        </is>
      </c>
      <c r="E296" s="8" t="inlineStr">
        <is>
          <t>SomeSteps_AreRunnable_AndPoweredDescentHasTheKeySequences</t>
        </is>
      </c>
      <c r="F296" s="8" t="inlineStr"/>
      <c r="G296" s="8" t="inlineStr">
        <is>
          <t>통과</t>
        </is>
      </c>
      <c r="H296" s="8" t="n">
        <v>4.3</v>
      </c>
    </row>
    <row r="297">
      <c r="A297" s="9" t="n">
        <v>296</v>
      </c>
      <c r="B297" s="9" t="inlineStr">
        <is>
          <t>단위/연동</t>
        </is>
      </c>
      <c r="C297" s="9" t="inlineStr">
        <is>
          <t>DSKY 키 표기</t>
        </is>
      </c>
      <c r="D297" s="9" t="inlineStr">
        <is>
          <t>DskyKeyNotationTests</t>
        </is>
      </c>
      <c r="E297" s="9" t="inlineStr">
        <is>
          <t>Describe_UsesTheKeypadLabels</t>
        </is>
      </c>
      <c r="F297" s="9" t="inlineStr"/>
      <c r="G297" s="9" t="inlineStr">
        <is>
          <t>통과</t>
        </is>
      </c>
      <c r="H297" s="9" t="n">
        <v>4.2</v>
      </c>
    </row>
    <row r="298">
      <c r="A298" s="8" t="n">
        <v>297</v>
      </c>
      <c r="B298" s="8" t="inlineStr">
        <is>
          <t>단위/연동</t>
        </is>
      </c>
      <c r="C298" s="8" t="inlineStr">
        <is>
          <t>DSKY 키 표기</t>
        </is>
      </c>
      <c r="D298" s="8" t="inlineStr">
        <is>
          <t>DskyKeyNotationTests</t>
        </is>
      </c>
      <c r="E298" s="8" t="inlineStr">
        <is>
          <t>IsValid_AcceptsNotationOnly</t>
        </is>
      </c>
      <c r="F298" s="8" t="inlineStr"/>
      <c r="G298" s="8" t="inlineStr">
        <is>
          <t>통과</t>
        </is>
      </c>
      <c r="H298" s="8" t="n">
        <v>0.3</v>
      </c>
    </row>
    <row r="299">
      <c r="A299" s="9" t="n">
        <v>298</v>
      </c>
      <c r="B299" s="9" t="inlineStr">
        <is>
          <t>단위/연동</t>
        </is>
      </c>
      <c r="C299" s="9" t="inlineStr">
        <is>
          <t>DSKY 키 표기</t>
        </is>
      </c>
      <c r="D299" s="9" t="inlineStr">
        <is>
          <t>DskyKeyNotationTests</t>
        </is>
      </c>
      <c r="E299" s="9" t="inlineStr">
        <is>
          <t>Parse_ConvertsEveryNotationCharacter</t>
        </is>
      </c>
      <c r="F299" s="9" t="inlineStr"/>
      <c r="G299" s="9" t="inlineStr">
        <is>
          <t>통과</t>
        </is>
      </c>
      <c r="H299" s="9" t="n">
        <v>4.4</v>
      </c>
    </row>
    <row r="300">
      <c r="A300" s="8" t="n">
        <v>299</v>
      </c>
      <c r="B300" s="8" t="inlineStr">
        <is>
          <t>단위/연동</t>
        </is>
      </c>
      <c r="C300" s="8" t="inlineStr">
        <is>
          <t>DSKY 키 표기</t>
        </is>
      </c>
      <c r="D300" s="8" t="inlineStr">
        <is>
          <t>DskyKeyNotationTests</t>
        </is>
      </c>
      <c r="E300" s="8" t="inlineStr">
        <is>
          <t>Parse_IgnoresSpaces_AndRejectsUnknownCharacters</t>
        </is>
      </c>
      <c r="F300" s="8" t="inlineStr"/>
      <c r="G300" s="8" t="inlineStr">
        <is>
          <t>통과</t>
        </is>
      </c>
      <c r="H300" s="8" t="n">
        <v>3.9</v>
      </c>
    </row>
    <row r="301">
      <c r="A301" s="9" t="n">
        <v>300</v>
      </c>
      <c r="B301" s="9" t="inlineStr">
        <is>
          <t>단위/연동</t>
        </is>
      </c>
      <c r="C301" s="9" t="inlineStr">
        <is>
          <t>DSKY 키 표기</t>
        </is>
      </c>
      <c r="D301" s="9" t="inlineStr">
        <is>
          <t>DskyKeyNotationTests</t>
        </is>
      </c>
      <c r="E301" s="9" t="inlineStr">
        <is>
          <t>ParsedKeys_DriveTheController_SameAsTypingThem</t>
        </is>
      </c>
      <c r="F301" s="9" t="inlineStr"/>
      <c r="G301" s="9" t="inlineStr">
        <is>
          <t>통과</t>
        </is>
      </c>
      <c r="H301" s="9" t="n">
        <v>3.7</v>
      </c>
    </row>
  </sheetData>
  <autoFilter ref="A1:H301"/>
  <conditionalFormatting sqref="G2:G301">
    <cfRule type="cellIs" priority="1" operator="equal" dxfId="0">
      <formula>"통과"</formula>
    </cfRule>
    <cfRule type="cellIs" priority="2" operator="equal" dxfId="1">
      <formula>"실패"</formula>
    </cfRule>
    <cfRule type="cellIs" priority="3" operator="equal" dxfId="2">
      <formula>"미구현"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46" customWidth="1" min="4" max="4"/>
    <col width="44" customWidth="1" min="5" max="5"/>
    <col width="44" customWidth="1" min="6" max="6"/>
  </cols>
  <sheetData>
    <row r="1">
      <c r="A1" s="7" t="inlineStr">
        <is>
          <t>번호</t>
        </is>
      </c>
      <c r="B1" s="7" t="inlineStr">
        <is>
          <t>구분</t>
        </is>
      </c>
      <c r="C1" s="7" t="inlineStr">
        <is>
          <t>발견한 테스트/경로</t>
        </is>
      </c>
      <c r="D1" s="7" t="inlineStr">
        <is>
          <t>증상</t>
        </is>
      </c>
      <c r="E1" s="7" t="inlineStr">
        <is>
          <t>원인</t>
        </is>
      </c>
      <c r="F1" s="7" t="inlineStr">
        <is>
          <t>조치</t>
        </is>
      </c>
    </row>
    <row r="2">
      <c r="A2" s="8" t="n">
        <v>1</v>
      </c>
      <c r="B2" s="8" t="inlineStr">
        <is>
          <t>제품</t>
        </is>
      </c>
      <c r="C2" s="11" t="inlineStr">
        <is>
          <t>UI-P (STA 다중 스레드)</t>
        </is>
      </c>
      <c r="D2" s="11" t="inlineStr">
        <is>
          <t>정적 브러시를 다른 스레드에서 쓰면 예외</t>
        </is>
      </c>
      <c r="E2" s="11" t="inlineStr">
        <is>
          <t>공유 SolidColorBrush를 동결하지 않음</t>
        </is>
      </c>
      <c r="F2" s="11" t="inlineStr">
        <is>
          <t>정적/기본값 브러시를 Freeze</t>
        </is>
      </c>
    </row>
    <row r="3">
      <c r="A3" s="9" t="n">
        <v>2</v>
      </c>
      <c r="B3" s="9" t="inlineStr">
        <is>
          <t>제품</t>
        </is>
      </c>
      <c r="C3" s="12" t="inlineStr">
        <is>
          <t>렌더 PNG 육안 확인</t>
        </is>
      </c>
      <c r="D3" s="12" t="inlineStr">
        <is>
          <t>꺼진 + 세로 획이 모든 칸에 흐리게 겹쳐 보임</t>
        </is>
      </c>
      <c r="E3" s="12" t="inlineStr">
        <is>
          <t>'+' 전용 획을 꺼진 상태로도 그림</t>
        </is>
      </c>
      <c r="F3" s="12" t="inlineStr">
        <is>
          <t>점등 시에만 그림</t>
        </is>
      </c>
    </row>
    <row r="4">
      <c r="A4" s="8" t="n">
        <v>3</v>
      </c>
      <c r="B4" s="8" t="inlineStr">
        <is>
          <t>테스트</t>
        </is>
      </c>
      <c r="C4" s="11" t="inlineStr">
        <is>
          <t>UI 테스트 간헐 실패</t>
        </is>
      </c>
      <c r="D4" s="11" t="inlineStr">
        <is>
          <t>XamlParseException(5회 중 1회)</t>
        </is>
      </c>
      <c r="E4" s="11" t="inlineStr">
        <is>
          <t>MSTest 메서드 병렬 실행 중 XAML 동시 로드 경합</t>
        </is>
      </c>
      <c r="F4" s="11" t="inlineStr">
        <is>
          <t>UI 테스트 클래스를 [DoNotParallelize]</t>
        </is>
      </c>
    </row>
    <row r="5">
      <c r="A5" s="9" t="n">
        <v>4</v>
      </c>
      <c r="B5" s="9" t="inlineStr">
        <is>
          <t>제품</t>
        </is>
      </c>
      <c r="C5" s="12" t="inlineStr">
        <is>
          <t>UI-P11</t>
        </is>
      </c>
      <c r="D5" s="12" t="inlineStr">
        <is>
          <t>키가 정사각형이 아님(70×59)</t>
        </is>
      </c>
      <c r="E5" s="12" t="inlineStr">
        <is>
          <t>패널 높이 부족</t>
        </is>
      </c>
      <c r="F5" s="12" t="inlineStr">
        <is>
          <t>패널 높이 조정(610→640→646)</t>
        </is>
      </c>
    </row>
    <row r="6">
      <c r="A6" s="8" t="n">
        <v>5</v>
      </c>
      <c r="B6" s="8" t="inlineStr">
        <is>
          <t>제품</t>
        </is>
      </c>
      <c r="C6" s="11" t="inlineStr">
        <is>
          <t>코드리뷰 / V33·V34 테스트</t>
        </is>
      </c>
      <c r="D6" s="11" t="inlineStr">
        <is>
          <t>깜박이는 로드 중 V33E/V34E 응답 불가</t>
        </is>
      </c>
      <c r="E6" s="11" t="inlineStr">
        <is>
          <t>VERB 키가 대기를 취소</t>
        </is>
      </c>
      <c r="F6" s="11" t="inlineStr">
        <is>
          <t>VERB는 새 Verb 입력만 받고 ENTR 시 실행</t>
        </is>
      </c>
    </row>
    <row r="7">
      <c r="A7" s="9" t="n">
        <v>6</v>
      </c>
      <c r="B7" s="9" t="inlineStr">
        <is>
          <t>제품</t>
        </is>
      </c>
      <c r="C7" s="12" t="inlineStr">
        <is>
          <t>코드리뷰</t>
        </is>
      </c>
      <c r="D7" s="12" t="inlineStr">
        <is>
          <t>V34가 V16 모니터를 끄지 않음</t>
        </is>
      </c>
      <c r="E7" s="12" t="inlineStr">
        <is>
          <t>모니터/표시 상태 미해제</t>
        </is>
      </c>
      <c r="F7" s="12" t="inlineStr">
        <is>
          <t>V34가 모니터와 표시를 해제</t>
        </is>
      </c>
    </row>
    <row r="8">
      <c r="A8" s="8" t="n">
        <v>7</v>
      </c>
      <c r="B8" s="8" t="inlineStr">
        <is>
          <t>제품</t>
        </is>
      </c>
      <c r="C8" s="11" t="inlineStr">
        <is>
          <t>코드리뷰</t>
        </is>
      </c>
      <c r="D8" s="11" t="inlineStr">
        <is>
          <t>램프 테스트 중 입력이 숨은 상태를 남김(887)</t>
        </is>
      </c>
      <c r="E8" s="11" t="inlineStr">
        <is>
          <t>테스트 중에도 키 처리</t>
        </is>
      </c>
      <c r="F8" s="11" t="inlineStr">
        <is>
          <t>램프 테스트 중 키 무시</t>
        </is>
      </c>
    </row>
    <row r="9">
      <c r="A9" s="9" t="n">
        <v>8</v>
      </c>
      <c r="B9" s="9" t="inlineStr">
        <is>
          <t>제품</t>
        </is>
      </c>
      <c r="C9" s="12" t="inlineStr">
        <is>
          <t>코드리뷰 / UI-C02 계열</t>
        </is>
      </c>
      <c r="D9" s="12" t="inlineStr">
        <is>
          <t>알람 핸들러가 갱신 전 MET를 봄</t>
        </is>
      </c>
      <c r="E9" s="12" t="inlineStr">
        <is>
          <t>이벤트를 상태 갱신 전에 발생</t>
        </is>
      </c>
      <c r="F9" s="12" t="inlineStr">
        <is>
          <t>상태 갱신 후 알림</t>
        </is>
      </c>
    </row>
    <row r="10">
      <c r="A10" s="8" t="n">
        <v>9</v>
      </c>
      <c r="B10" s="8" t="inlineStr">
        <is>
          <t>제품</t>
        </is>
      </c>
      <c r="C10" s="11" t="inlineStr">
        <is>
          <t>UI-W02, UI-W03</t>
        </is>
      </c>
      <c r="D10" s="11" t="inlineStr">
        <is>
          <t>단계 목록이 현재 단계와 동기화되지 않음</t>
        </is>
      </c>
      <c r="E10" s="11" t="inlineStr">
        <is>
          <t>SelectionChanged에만 의존</t>
        </is>
      </c>
      <c r="F10" s="11" t="inlineStr">
        <is>
          <t>RefreshView에서 선택 동기화(재진입 방지)</t>
        </is>
      </c>
    </row>
    <row r="11">
      <c r="A11" s="9" t="n">
        <v>10</v>
      </c>
      <c r="B11" s="9" t="inlineStr">
        <is>
          <t>제품</t>
        </is>
      </c>
      <c r="C11" s="12" t="inlineStr">
        <is>
          <t>UI-W01</t>
        </is>
      </c>
      <c r="D11" s="12" t="inlineStr">
        <is>
          <t>미션 끝에서 ▶가 동작하지 않음</t>
        </is>
      </c>
      <c r="E11" s="12" t="inlineStr">
        <is>
          <t>재생 직후 끝으로 다시 클램프</t>
        </is>
      </c>
      <c r="F11" s="12" t="inlineStr">
        <is>
          <t>끝에서는 처음부터 재생</t>
        </is>
      </c>
    </row>
    <row r="12">
      <c r="A12" s="8" t="n">
        <v>11</v>
      </c>
      <c r="B12" s="8" t="inlineStr">
        <is>
          <t>제품</t>
        </is>
      </c>
      <c r="C12" s="11" t="inlineStr">
        <is>
          <t>코드리뷰</t>
        </is>
      </c>
      <c r="D12" s="11" t="inlineStr">
        <is>
          <t>경도 보간이 날짜 변경선을 무시</t>
        </is>
      </c>
      <c r="E12" s="11" t="inlineStr">
        <is>
          <t>단순 선형 보간</t>
        </is>
      </c>
      <c r="F12" s="11" t="inlineStr">
        <is>
          <t>최단 경로 보간 + 정규화</t>
        </is>
      </c>
    </row>
    <row r="13">
      <c r="A13" s="9" t="n">
        <v>12</v>
      </c>
      <c r="B13" s="9" t="inlineStr">
        <is>
          <t>제품</t>
        </is>
      </c>
      <c r="C13" s="12" t="inlineStr">
        <is>
          <t>UI-R04</t>
        </is>
      </c>
      <c r="D13" s="12" t="inlineStr">
        <is>
          <t>최소 크기(1100×700)에서 '단계 이동' 콤보가 창 밖으로 잘림</t>
        </is>
      </c>
      <c r="E13" s="12" t="inlineStr">
        <is>
          <t>고정 폭 260의 가로 StackPanel</t>
        </is>
      </c>
      <c r="F13" s="12" t="inlineStr">
        <is>
          <t>남는 폭을 채우는 Grid 열로 변경</t>
        </is>
      </c>
    </row>
    <row r="14">
      <c r="A14" s="8" t="n">
        <v>13</v>
      </c>
      <c r="B14" s="8" t="inlineStr">
        <is>
          <t>테스트</t>
        </is>
      </c>
      <c r="C14" s="11" t="inlineStr">
        <is>
          <t>UI-D03/D04</t>
        </is>
      </c>
      <c r="D14" s="11" t="inlineStr">
        <is>
          <t>60배속 3초가 2:59로 표시</t>
        </is>
      </c>
      <c r="E14" s="11" t="inlineStr">
        <is>
          <t>하네스가 부동소수점 누적으로 마지막 스텝이 1틱 부족</t>
        </is>
      </c>
      <c r="F14" s="11" t="inlineStr">
        <is>
          <t>정수 틱 단위로 시간 진행</t>
        </is>
      </c>
    </row>
    <row r="15">
      <c r="A15" s="9" t="n">
        <v>14</v>
      </c>
      <c r="B15" s="9" t="inlineStr">
        <is>
          <t>테스트</t>
        </is>
      </c>
      <c r="C15" s="12" t="inlineStr">
        <is>
          <t>UI-C02</t>
        </is>
      </c>
      <c r="D15" s="12" t="inlineStr">
        <is>
          <t>기대값 오류(알람 코드 순서)</t>
        </is>
      </c>
      <c r="E15" s="12" t="inlineStr">
        <is>
          <t>1201 이후 60초에 1202 두 건이 더 지나감을 간과</t>
        </is>
      </c>
      <c r="F15" s="12" t="inlineStr">
        <is>
          <t>기대값을 1202/1202/1201로 수정</t>
        </is>
      </c>
    </row>
    <row r="16">
      <c r="A16" s="8" t="n">
        <v>15</v>
      </c>
      <c r="B16" s="8" t="inlineStr">
        <is>
          <t>테스트</t>
        </is>
      </c>
      <c r="C16" s="11" t="inlineStr">
        <is>
          <t>UI-R03</t>
        </is>
      </c>
      <c r="D16" s="11" t="inlineStr">
        <is>
          <t>램프 테스트 중 후속 키가 무시되어 시나리오가 어긋남(PROG 점등도 오탐)</t>
        </is>
      </c>
      <c r="E16" s="11" t="inlineStr">
        <is>
          <t>5초 동안 키 무시가 올바른 동작인데 대기하지 않음</t>
        </is>
      </c>
      <c r="F16" s="11" t="inlineStr">
        <is>
          <t>5초 대기 및 키 무시 단언 추가</t>
        </is>
      </c>
    </row>
    <row r="17">
      <c r="A17" s="9" t="n">
        <v>16</v>
      </c>
      <c r="B17" s="9" t="inlineStr">
        <is>
          <t>테스트</t>
        </is>
      </c>
      <c r="C17" s="12" t="inlineStr">
        <is>
          <t>UI-R04</t>
        </is>
      </c>
      <c r="D17" s="12" t="inlineStr">
        <is>
          <t>절반 기준이 16px 어긋남</t>
        </is>
      </c>
      <c r="E17" s="12" t="inlineStr">
        <is>
          <t>Window.ActualWidth는 테두리 포함 크기</t>
        </is>
      </c>
      <c r="F17" s="12" t="inlineStr">
        <is>
          <t>내용 영역(Content) 크기를 기준으로</t>
        </is>
      </c>
    </row>
    <row r="18">
      <c r="A18" s="8" t="n">
        <v>17</v>
      </c>
      <c r="B18" s="8" t="inlineStr">
        <is>
          <t>제품</t>
        </is>
      </c>
      <c r="C18" s="11" t="inlineStr">
        <is>
          <t>데이터 대조</t>
        </is>
      </c>
      <c r="D18" s="11" t="inlineStr">
        <is>
          <t>하강 알람이 4개(실제 5개)이고 코드·시각이 다름, N62 정의 오류</t>
        </is>
      </c>
      <c r="E18" s="11" t="inlineStr">
        <is>
          <t>공개 기록 대조 전 구현</t>
        </is>
      </c>
      <c r="F18" s="11" t="inlineStr">
        <is>
          <t>알람 5개(1202×4+1201), N63/N68로 교체</t>
        </is>
      </c>
    </row>
    <row r="19">
      <c r="A19" s="9" t="n">
        <v>18</v>
      </c>
      <c r="B19" s="9" t="inlineStr">
        <is>
          <t>제품</t>
        </is>
      </c>
      <c r="C19" s="12" t="inlineStr">
        <is>
          <t>AgcMissionLinkTests / UI-V04</t>
        </is>
      </c>
      <c r="D19" s="12" t="inlineStr">
        <is>
          <t>프로그램이 띄운 표시 위에 다음 프로그램 표시가 오면 KEY REL로 대기(승무원 사용으로 오인)</t>
        </is>
      </c>
      <c r="E19" s="12" t="inlineStr">
        <is>
          <t>표시의 주인(프로그램/승무원)을 구분하지 않음</t>
        </is>
      </c>
      <c r="F19" s="12" t="inlineStr">
        <is>
          <t>프로그램 표시는 바로 교체, 승무원이 조작한 표시만 KEY REL로 보호</t>
        </is>
      </c>
    </row>
    <row r="20">
      <c r="A20" s="8" t="n">
        <v>19</v>
      </c>
      <c r="B20" s="8" t="inlineStr">
        <is>
          <t>제품</t>
        </is>
      </c>
      <c r="C20" s="11" t="inlineStr">
        <is>
          <t>사령선/착륙선 노운 대조</t>
        </is>
      </c>
      <c r="D20" s="11" t="inlineStr">
        <is>
          <t>N63/N68이 사령선에서도 착륙선 정의로 표시, 사령선 N62 미지원, ALT/VEL 램프가 사령선에도 표시</t>
        </is>
      </c>
      <c r="E20" s="11" t="inlineStr">
        <is>
          <t>Comanche 055 노운 표 대조 전 구현</t>
        </is>
      </c>
      <c r="F20" s="11" t="inlineStr">
        <is>
          <t>우주선별 노운·램프 정의(AgcVehicle), 사령선에서 하강 노운 거부</t>
        </is>
      </c>
    </row>
    <row r="21">
      <c r="A21" s="9" t="n">
        <v>21</v>
      </c>
      <c r="B21" s="9" t="inlineStr">
        <is>
          <t>제품</t>
        </is>
      </c>
      <c r="C21" s="12" t="inlineStr">
        <is>
          <t>UI-U02</t>
        </is>
      </c>
      <c r="D21" s="12" t="inlineStr">
        <is>
          <t>가이드 텍스트가 Run 인라인으로 만들어져 TextBlock.Text가 비어 텍스트 접근(테스트/접근성)이 불가</t>
        </is>
      </c>
      <c r="E21" s="12" t="inlineStr">
        <is>
          <t>Inlines 사용 시 Text 속성 미갱신</t>
        </is>
      </c>
      <c r="F21" s="12" t="inlineStr">
        <is>
          <t>인라인 Run을 이어 붙여 읽도록 수정</t>
        </is>
      </c>
    </row>
    <row r="22">
      <c r="A22" s="8" t="n">
        <v>22</v>
      </c>
      <c r="B22" s="8" t="inlineStr">
        <is>
          <t>테스트</t>
        </is>
      </c>
      <c r="C22" s="11" t="inlineStr">
        <is>
          <t>UI-G30</t>
        </is>
      </c>
      <c r="D22" s="11" t="inlineStr">
        <is>
          <t>재진입 시작의 플라스마 픽셀이 기대(400)보다 적음</t>
        </is>
      </c>
      <c r="E22" s="11" t="inlineStr">
        <is>
          <t>122km 재진입 시작은 원래 약한 가열 — 기대값이 비현실적</t>
        </is>
      </c>
      <c r="F22" s="11" t="inlineStr">
        <is>
          <t>최대 감속이 더 강하다는 의미로 단언 수정</t>
        </is>
      </c>
    </row>
    <row r="24">
      <c r="A24" s="2" t="inlineStr">
        <is>
          <t>구분: '제품'은 프로그램 결함, '테스트'는 테스트(하네스·기대값·시나리오) 결함이다.</t>
        </is>
      </c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2026-10-18T15:22:56Z</dcterms:created>
  <dcterms:modified xsi:type="dcterms:W3CDTF">2026-10-18T15:22:56Z</dcterms:modified>
</cp:coreProperties>
</file>